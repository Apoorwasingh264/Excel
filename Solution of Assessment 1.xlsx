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307a5c1aaefead/"/>
    </mc:Choice>
  </mc:AlternateContent>
  <xr:revisionPtr revIDLastSave="147" documentId="8_{AD1DC47F-91AD-477B-85F9-E8278370D452}" xr6:coauthVersionLast="47" xr6:coauthVersionMax="47" xr10:uidLastSave="{3154D6D0-615E-4127-B2BA-EC8171DE9FCF}"/>
  <bookViews>
    <workbookView xWindow="-108" yWindow="-108" windowWidth="23256" windowHeight="12456" xr2:uid="{FE5D03BB-451E-41D9-9545-472846893CD5}"/>
  </bookViews>
  <sheets>
    <sheet name="Answ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3" i="1" l="1"/>
  <c r="L128" i="1"/>
  <c r="K119" i="1"/>
  <c r="N61" i="1"/>
  <c r="K47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</calcChain>
</file>

<file path=xl/sharedStrings.xml><?xml version="1.0" encoding="utf-8"?>
<sst xmlns="http://schemas.openxmlformats.org/spreadsheetml/2006/main" count="392" uniqueCount="137">
  <si>
    <r>
      <t xml:space="preserve">          </t>
    </r>
    <r>
      <rPr>
        <b/>
        <sz val="16"/>
        <color theme="1"/>
        <rFont val="Calibri"/>
        <family val="2"/>
        <scheme val="minor"/>
      </rPr>
      <t xml:space="preserve"> Difference between Relative , Absolute and Mixed Cell Referencing.</t>
    </r>
  </si>
  <si>
    <t xml:space="preserve">        Answer-1</t>
  </si>
  <si>
    <t>A1 = 10</t>
  </si>
  <si>
    <t>B1 = 5</t>
  </si>
  <si>
    <t>Relative Reference-</t>
  </si>
  <si>
    <t>Relative reference changes automatically when we copy the formula to another cell.</t>
  </si>
  <si>
    <t>Example:</t>
  </si>
  <si>
    <t>Let's take</t>
  </si>
  <si>
    <t xml:space="preserve"> </t>
  </si>
  <si>
    <t>The row changed from 1 to 2 automatically.</t>
  </si>
  <si>
    <t>If in C1 I write: A1+B1</t>
  </si>
  <si>
    <t>Now when I copy this formula from C1 to C2, it will become: A2+B2</t>
  </si>
  <si>
    <r>
      <t xml:space="preserve">Now even if you copy this formula to any cell, it will </t>
    </r>
    <r>
      <rPr>
        <b/>
        <sz val="11"/>
        <color theme="1"/>
        <rFont val="Calibri"/>
        <family val="2"/>
        <scheme val="minor"/>
      </rPr>
      <t>always use A1 and B1 only</t>
    </r>
    <r>
      <rPr>
        <sz val="11"/>
        <color theme="1"/>
        <rFont val="Calibri"/>
        <family val="2"/>
        <scheme val="minor"/>
      </rPr>
      <t>.</t>
    </r>
  </si>
  <si>
    <t>Example-</t>
  </si>
  <si>
    <t>If in C1 I write: $A$1+$B$1</t>
  </si>
  <si>
    <t>Now when I copy this formula from C1 to C2, it will be same: $A$1+$B$1</t>
  </si>
  <si>
    <r>
      <t xml:space="preserve"> A1 and B1 are</t>
    </r>
    <r>
      <rPr>
        <b/>
        <sz val="11"/>
        <color theme="1"/>
        <rFont val="Calibri"/>
        <family val="2"/>
        <scheme val="minor"/>
      </rPr>
      <t xml:space="preserve"> fixed</t>
    </r>
    <r>
      <rPr>
        <sz val="11"/>
        <color theme="1"/>
        <rFont val="Calibri"/>
        <family val="2"/>
        <scheme val="minor"/>
      </rPr>
      <t>.</t>
    </r>
  </si>
  <si>
    <r>
      <rPr>
        <b/>
        <sz val="12"/>
        <color theme="1"/>
        <rFont val="Calibri"/>
        <family val="2"/>
        <scheme val="minor"/>
      </rPr>
      <t>Absolute Reference-</t>
    </r>
    <r>
      <rPr>
        <sz val="11"/>
        <color theme="1"/>
        <rFont val="Calibri"/>
        <family val="2"/>
        <scheme val="minor"/>
      </rPr>
      <t xml:space="preserve"> Absolute reference never changes, even if we copy the formula anywhere. It uses the </t>
    </r>
    <r>
      <rPr>
        <b/>
        <sz val="11"/>
        <color theme="1"/>
        <rFont val="Calibri"/>
        <family val="2"/>
        <scheme val="minor"/>
      </rPr>
      <t>$</t>
    </r>
    <r>
      <rPr>
        <sz val="11"/>
        <color theme="1"/>
        <rFont val="Calibri"/>
        <family val="2"/>
        <scheme val="minor"/>
      </rPr>
      <t xml:space="preserve"> sign.</t>
    </r>
  </si>
  <si>
    <t>Row will change when copied</t>
  </si>
  <si>
    <t>Column will change when copied</t>
  </si>
  <si>
    <r>
      <t xml:space="preserve">Mixed Cell Referencing- </t>
    </r>
    <r>
      <rPr>
        <sz val="11"/>
        <color theme="1"/>
        <rFont val="Calibri"/>
        <family val="2"/>
        <scheme val="minor"/>
      </rPr>
      <t>In mixed reference, one part is fixed and the other part changes.</t>
    </r>
  </si>
  <si>
    <r>
      <t xml:space="preserve">Type 1: </t>
    </r>
    <r>
      <rPr>
        <b/>
        <sz val="11"/>
        <color theme="1"/>
        <rFont val="Arial Unicode MS"/>
      </rPr>
      <t>$A1</t>
    </r>
    <r>
      <rPr>
        <b/>
        <sz val="11"/>
        <color theme="1"/>
        <rFont val="Calibri"/>
        <family val="2"/>
        <scheme val="minor"/>
      </rPr>
      <t xml:space="preserve"> (Column fixed, Row changes)</t>
    </r>
  </si>
  <si>
    <t>Column A is fixed i.e. $A1</t>
  </si>
  <si>
    <r>
      <t xml:space="preserve">Type 2: </t>
    </r>
    <r>
      <rPr>
        <b/>
        <sz val="11"/>
        <color theme="1"/>
        <rFont val="Arial Unicode MS"/>
      </rPr>
      <t>A$1</t>
    </r>
    <r>
      <rPr>
        <b/>
        <sz val="11"/>
        <color theme="1"/>
        <rFont val="Calibri"/>
        <family val="2"/>
        <scheme val="minor"/>
      </rPr>
      <t xml:space="preserve"> (Row fixed, Column changes)</t>
    </r>
  </si>
  <si>
    <t>Row 1 is fixed i.e. A$1</t>
  </si>
  <si>
    <t>It is of two types-</t>
  </si>
  <si>
    <t>Answer-2</t>
  </si>
  <si>
    <t>Dataset</t>
  </si>
  <si>
    <t>Vehicle</t>
  </si>
  <si>
    <t>Price</t>
  </si>
  <si>
    <t>Car</t>
  </si>
  <si>
    <t>Bicycle</t>
  </si>
  <si>
    <t>Auto-Rickshaw</t>
  </si>
  <si>
    <t xml:space="preserve">Total sales of Car and Bicycle </t>
  </si>
  <si>
    <t>Answer-3</t>
  </si>
  <si>
    <t>Item</t>
  </si>
  <si>
    <t>Sales</t>
  </si>
  <si>
    <t>Item A</t>
  </si>
  <si>
    <t>Item B</t>
  </si>
  <si>
    <t>Item C</t>
  </si>
  <si>
    <t>Formula to calculate the average sales of items priced above 100 but less than 300:</t>
  </si>
  <si>
    <t>&gt;100</t>
  </si>
  <si>
    <t>&lt;300</t>
  </si>
  <si>
    <t xml:space="preserve">          Conditions</t>
  </si>
  <si>
    <t>Answer-4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</si>
  <si>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</si>
  <si>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</si>
  <si>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</si>
  <si>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</si>
  <si>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</si>
  <si>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</si>
  <si>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</si>
  <si>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</si>
  <si>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</si>
  <si>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</si>
  <si>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</si>
  <si>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</si>
  <si>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</si>
  <si>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</si>
  <si>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</si>
  <si>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</si>
  <si>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</si>
  <si>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</si>
  <si>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</si>
  <si>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</si>
  <si>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</si>
  <si>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</si>
  <si>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</si>
  <si>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</si>
  <si>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</si>
  <si>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</si>
  <si>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</si>
  <si>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</si>
  <si>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</si>
  <si>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</si>
  <si>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</si>
  <si>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</si>
  <si>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</si>
  <si>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</si>
  <si>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</si>
  <si>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</si>
  <si>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</si>
  <si>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</si>
  <si>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</si>
  <si>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</si>
  <si>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</si>
  <si>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</si>
  <si>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</si>
  <si>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</si>
  <si>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</si>
  <si>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</si>
  <si>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</si>
  <si>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</si>
  <si>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</si>
  <si>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</si>
  <si>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</si>
  <si>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</si>
  <si>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</si>
  <si>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</si>
  <si>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</si>
  <si>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</si>
  <si>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</si>
  <si>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</si>
  <si>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</si>
  <si>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</si>
  <si>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</si>
  <si>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</si>
  <si>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</si>
  <si>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</si>
  <si>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</si>
  <si>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</si>
  <si>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DATASET-</t>
  </si>
  <si>
    <t>Answer-5</t>
  </si>
  <si>
    <t>Customers whom names are recorded</t>
  </si>
  <si>
    <t>Total Sales</t>
  </si>
  <si>
    <t>Total sales of each row</t>
  </si>
  <si>
    <t>Answer-6</t>
  </si>
  <si>
    <t>Total sales of Notebooks in the North region</t>
  </si>
  <si>
    <t>Answer-7</t>
  </si>
  <si>
    <t>Column chart showing total sales by product.</t>
  </si>
  <si>
    <t>Answer-8</t>
  </si>
  <si>
    <t>Line chart showing daily sales trend.</t>
  </si>
  <si>
    <t>Q.1.Explain the difference between Relative , Absolute and Mixed Cell Referencing</t>
  </si>
  <si>
    <t>Q.2-Write a formula to calculate the total sales of Car and Bicycle only.</t>
  </si>
  <si>
    <t>Q.3-Using the data below, write a formula to calculate the average sales of items priced above 100 but less than 300:</t>
  </si>
  <si>
    <t>Q.4-Count how many customer names are recorded</t>
  </si>
  <si>
    <t>Q.5-Calculate the Total Sales for each row using a formula.</t>
  </si>
  <si>
    <t>Q.6- Calculate the total sales of Notebooks in the North region only.</t>
  </si>
  <si>
    <r>
      <t>Q.7- Create a column chart showing total sales by product</t>
    </r>
    <r>
      <rPr>
        <sz val="11"/>
        <color theme="1"/>
        <rFont val="Calibri"/>
        <family val="2"/>
        <scheme val="minor"/>
      </rPr>
      <t xml:space="preserve">.                              </t>
    </r>
  </si>
  <si>
    <t>Q.8- Insert a line chart showing daily sales trend</t>
  </si>
  <si>
    <t>Explanation- I have selected the sales data then select the line chart to show the sales trend daywise.</t>
  </si>
  <si>
    <t xml:space="preserve">Explanation- I have selected the total sales, then simultaneously selected product column and select the column chart to explain the total sales by product.                       </t>
  </si>
  <si>
    <t>Explanation-By using formula of sum i.e. =SUM(J42:J43), the total sales of car and bicycle= 510500</t>
  </si>
  <si>
    <t>Explanation- By using the formula of averageifs- =AVERAGEIFS(J55:J57,I55:I57,O55,I55:I57,P55)</t>
  </si>
  <si>
    <t>Explanation- By using the COUNTA formula , i.e =COUNTA(H65:H114)</t>
  </si>
  <si>
    <t>Explanation- By using the formula of sumproduct i.e =SUMPRODUCT($I127,$J127), we get the sales for each row, we put the above formula of sumproduct then drag it down till the last row and get sales for each row.</t>
  </si>
  <si>
    <t>Explanation- By using the formula of sumifs i.e.=SUMIFS(L128:L177,H128:H177,H171,G128:G177,G172)  to get the total sales of notebook for North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</si>
</sst>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 Unicode MS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vertical="center"/>
    </xf>
    <xf numFmtId="0" fontId="1" fillId="0" borderId="0" xfId="0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0" fillId="0" borderId="1" xfId="0" applyBorder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4" fillId="0" borderId="1" xfId="0" applyFont="1" applyBorder="1"/>
    <xf numFmtId="0" fontId="11" fillId="0" borderId="5" xfId="0" applyFont="1" applyBorder="1" applyAlignment="1">
      <alignment wrapText="1"/>
    </xf>
    <xf numFmtId="0" fontId="9" fillId="0" borderId="5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14" fontId="9" fillId="0" borderId="5" xfId="0" applyNumberFormat="1" applyFont="1" applyBorder="1" applyAlignment="1">
      <alignment horizontal="right" wrapText="1"/>
    </xf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2" fillId="0" borderId="0" xfId="0" applyFont="1"/>
    <xf numFmtId="0" fontId="11" fillId="0" borderId="6" xfId="0" applyFont="1" applyBorder="1" applyAlignment="1">
      <alignment wrapText="1"/>
    </xf>
    <xf numFmtId="0" fontId="5" fillId="2" borderId="0" xfId="0" applyFont="1" applyFill="1"/>
    <xf numFmtId="0" fontId="0" fillId="2" borderId="0" xfId="0" applyFill="1"/>
    <xf numFmtId="0" fontId="3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3" borderId="0" xfId="0" applyFont="1" applyFill="1" applyAlignment="1">
      <alignment vertical="center"/>
    </xf>
    <xf numFmtId="0" fontId="9" fillId="0" borderId="0" xfId="0" applyFont="1" applyAlignment="1">
      <alignment horizontal="right" wrapText="1"/>
    </xf>
    <xf numFmtId="0" fontId="9" fillId="0" borderId="0" xfId="0" applyFont="1" applyAlignment="1">
      <alignment wrapText="1"/>
    </xf>
    <xf numFmtId="14" fontId="9" fillId="0" borderId="0" xfId="0" applyNumberFormat="1" applyFont="1" applyAlignment="1">
      <alignment horizontal="right" wrapText="1"/>
    </xf>
    <xf numFmtId="0" fontId="0" fillId="3" borderId="0" xfId="0" applyFill="1" applyAlignment="1">
      <alignment horizontal="left" vertical="center" indent="5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</a:t>
            </a:r>
            <a:r>
              <a:rPr lang="en-IN" baseline="0"/>
              <a:t>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Answers!$L$128:$L$177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CD-4E55-B20E-0A7C23080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5482688"/>
        <c:axId val="1855479328"/>
      </c:lineChart>
      <c:catAx>
        <c:axId val="185548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79328"/>
        <c:crosses val="autoZero"/>
        <c:auto val="1"/>
        <c:lblAlgn val="ctr"/>
        <c:lblOffset val="100"/>
        <c:noMultiLvlLbl val="0"/>
      </c:catAx>
      <c:valAx>
        <c:axId val="18554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8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Eraser</c:v>
              </c:pt>
              <c:pt idx="1">
                <c:v>Marker</c:v>
              </c:pt>
              <c:pt idx="2">
                <c:v>Notebook</c:v>
              </c:pt>
              <c:pt idx="3">
                <c:v>Pen</c:v>
              </c:pt>
              <c:pt idx="4">
                <c:v>Pencil</c:v>
              </c:pt>
            </c:strLit>
          </c:cat>
          <c:val>
            <c:numLit>
              <c:formatCode>General</c:formatCode>
              <c:ptCount val="5"/>
              <c:pt idx="0">
                <c:v>1928</c:v>
              </c:pt>
              <c:pt idx="1">
                <c:v>3650</c:v>
              </c:pt>
              <c:pt idx="2">
                <c:v>7550</c:v>
              </c:pt>
              <c:pt idx="3">
                <c:v>2180</c:v>
              </c:pt>
              <c:pt idx="4">
                <c:v>1235</c:v>
              </c:pt>
            </c:numLit>
          </c:val>
          <c:extLst>
            <c:ext xmlns:c16="http://schemas.microsoft.com/office/drawing/2014/chart" uri="{C3380CC4-5D6E-409C-BE32-E72D297353CC}">
              <c16:uniqueId val="{00000000-6601-4983-9CB4-0B966143B3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6711888"/>
        <c:axId val="1516710448"/>
      </c:barChart>
      <c:catAx>
        <c:axId val="151671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710448"/>
        <c:crosses val="autoZero"/>
        <c:auto val="1"/>
        <c:lblAlgn val="ctr"/>
        <c:lblOffset val="100"/>
        <c:noMultiLvlLbl val="0"/>
      </c:catAx>
      <c:valAx>
        <c:axId val="151671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71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214</xdr:row>
      <xdr:rowOff>7620</xdr:rowOff>
    </xdr:from>
    <xdr:to>
      <xdr:col>13</xdr:col>
      <xdr:colOff>15240</xdr:colOff>
      <xdr:row>229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6130DB-DC11-41FD-AA6C-CD9743016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191</xdr:row>
      <xdr:rowOff>0</xdr:rowOff>
    </xdr:from>
    <xdr:to>
      <xdr:col>13</xdr:col>
      <xdr:colOff>594360</xdr:colOff>
      <xdr:row>206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2E6AA3-16F0-43AB-A085-09AE47CB4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3F47-FC0D-4DDE-8929-D1B766E3A837}">
  <dimension ref="A1:P232"/>
  <sheetViews>
    <sheetView tabSelected="1" topLeftCell="B209" workbookViewId="0">
      <selection activeCell="M182" sqref="M182"/>
    </sheetView>
  </sheetViews>
  <sheetFormatPr defaultRowHeight="14.4"/>
  <cols>
    <col min="8" max="8" width="15" customWidth="1"/>
    <col min="10" max="11" width="10.33203125" bestFit="1" customWidth="1"/>
    <col min="13" max="13" width="10.33203125" bestFit="1" customWidth="1"/>
  </cols>
  <sheetData>
    <row r="1" spans="1:10" ht="15.6">
      <c r="A1" s="32"/>
      <c r="B1" s="32"/>
      <c r="C1" s="32"/>
      <c r="D1" s="32"/>
      <c r="E1" s="38" t="s">
        <v>122</v>
      </c>
      <c r="F1" s="32"/>
      <c r="G1" s="32"/>
      <c r="H1" s="32"/>
      <c r="I1" s="32"/>
    </row>
    <row r="2" spans="1:10" ht="18">
      <c r="I2" s="28" t="s">
        <v>1</v>
      </c>
      <c r="J2" s="29"/>
    </row>
    <row r="3" spans="1:10" ht="21">
      <c r="F3" t="s">
        <v>0</v>
      </c>
    </row>
    <row r="5" spans="1:10" ht="15.6">
      <c r="A5" s="39" t="s">
        <v>4</v>
      </c>
      <c r="B5" s="40"/>
      <c r="C5" t="s">
        <v>5</v>
      </c>
    </row>
    <row r="7" spans="1:10" ht="15.6">
      <c r="A7" t="s">
        <v>6</v>
      </c>
      <c r="B7" s="6" t="s">
        <v>7</v>
      </c>
      <c r="D7" s="3" t="s">
        <v>2</v>
      </c>
    </row>
    <row r="8" spans="1:10">
      <c r="D8" s="3" t="s">
        <v>3</v>
      </c>
    </row>
    <row r="9" spans="1:10">
      <c r="D9" t="s">
        <v>10</v>
      </c>
    </row>
    <row r="10" spans="1:10">
      <c r="B10" s="3"/>
      <c r="D10" s="3"/>
    </row>
    <row r="11" spans="1:10">
      <c r="D11" t="s">
        <v>11</v>
      </c>
    </row>
    <row r="12" spans="1:10">
      <c r="D12" s="7" t="s">
        <v>9</v>
      </c>
    </row>
    <row r="13" spans="1:10">
      <c r="D13" s="4"/>
    </row>
    <row r="14" spans="1:10" ht="15.6">
      <c r="A14" t="s">
        <v>17</v>
      </c>
    </row>
    <row r="15" spans="1:10">
      <c r="D15" t="s">
        <v>8</v>
      </c>
    </row>
    <row r="16" spans="1:10" ht="15.6">
      <c r="A16" t="s">
        <v>13</v>
      </c>
      <c r="B16" s="6" t="s">
        <v>7</v>
      </c>
      <c r="D16" s="3" t="s">
        <v>2</v>
      </c>
    </row>
    <row r="17" spans="1:8">
      <c r="D17" s="3" t="s">
        <v>3</v>
      </c>
    </row>
    <row r="18" spans="1:8" ht="18">
      <c r="A18" s="2"/>
      <c r="D18" t="s">
        <v>14</v>
      </c>
    </row>
    <row r="19" spans="1:8">
      <c r="A19" s="1"/>
    </row>
    <row r="20" spans="1:8">
      <c r="A20" s="4"/>
      <c r="D20" t="s">
        <v>15</v>
      </c>
    </row>
    <row r="21" spans="1:8">
      <c r="D21" t="s">
        <v>12</v>
      </c>
    </row>
    <row r="22" spans="1:8">
      <c r="D22" t="s">
        <v>16</v>
      </c>
    </row>
    <row r="24" spans="1:8" ht="15.6">
      <c r="A24" s="8" t="s">
        <v>20</v>
      </c>
      <c r="B24" s="9"/>
      <c r="C24" s="9"/>
      <c r="D24" s="9"/>
      <c r="E24" s="9"/>
      <c r="F24" s="9"/>
      <c r="G24" s="9"/>
      <c r="H24" s="9"/>
    </row>
    <row r="25" spans="1:8">
      <c r="A25" t="s">
        <v>25</v>
      </c>
    </row>
    <row r="26" spans="1:8">
      <c r="A26" s="7" t="s">
        <v>21</v>
      </c>
    </row>
    <row r="27" spans="1:8">
      <c r="A27" s="3"/>
    </row>
    <row r="28" spans="1:8">
      <c r="A28" s="3" t="s">
        <v>22</v>
      </c>
    </row>
    <row r="29" spans="1:8">
      <c r="A29" s="3"/>
    </row>
    <row r="30" spans="1:8">
      <c r="A30" s="3" t="s">
        <v>18</v>
      </c>
    </row>
    <row r="31" spans="1:8">
      <c r="A31" s="1"/>
    </row>
    <row r="32" spans="1:8">
      <c r="A32" s="7" t="s">
        <v>23</v>
      </c>
    </row>
    <row r="33" spans="1:11">
      <c r="A33" s="3"/>
    </row>
    <row r="34" spans="1:11">
      <c r="A34" s="3" t="s">
        <v>24</v>
      </c>
    </row>
    <row r="35" spans="1:11">
      <c r="A35" s="3"/>
    </row>
    <row r="36" spans="1:11">
      <c r="A36" s="3" t="s">
        <v>19</v>
      </c>
    </row>
    <row r="37" spans="1:11">
      <c r="A37" s="3"/>
    </row>
    <row r="38" spans="1:11">
      <c r="A38" s="37" t="s">
        <v>123</v>
      </c>
      <c r="B38" s="32"/>
      <c r="C38" s="32"/>
      <c r="D38" s="32"/>
      <c r="E38" s="32"/>
      <c r="F38" s="32"/>
      <c r="G38" s="32"/>
      <c r="H38" s="32"/>
    </row>
    <row r="39" spans="1:11" ht="18">
      <c r="I39" s="30" t="s">
        <v>26</v>
      </c>
      <c r="J39" s="29"/>
    </row>
    <row r="41" spans="1:11" ht="18">
      <c r="D41" t="s">
        <v>27</v>
      </c>
      <c r="H41" s="11" t="s">
        <v>28</v>
      </c>
      <c r="I41" s="11"/>
      <c r="J41" s="11" t="s">
        <v>29</v>
      </c>
    </row>
    <row r="42" spans="1:11">
      <c r="H42" s="10" t="s">
        <v>30</v>
      </c>
      <c r="I42" s="10"/>
      <c r="J42" s="10">
        <v>500000</v>
      </c>
    </row>
    <row r="43" spans="1:11">
      <c r="H43" s="10" t="s">
        <v>31</v>
      </c>
      <c r="I43" s="10"/>
      <c r="J43" s="10">
        <v>10500</v>
      </c>
    </row>
    <row r="44" spans="1:11">
      <c r="H44" s="10" t="s">
        <v>32</v>
      </c>
      <c r="I44" s="10"/>
      <c r="J44" s="10">
        <v>25000</v>
      </c>
    </row>
    <row r="47" spans="1:11">
      <c r="H47" s="15" t="s">
        <v>33</v>
      </c>
      <c r="I47" s="16"/>
      <c r="J47" s="16"/>
      <c r="K47" s="17">
        <f>SUM(J42:J43)</f>
        <v>510500</v>
      </c>
    </row>
    <row r="48" spans="1:11">
      <c r="F48" s="1" t="s">
        <v>132</v>
      </c>
      <c r="H48" s="5"/>
      <c r="I48" s="5"/>
      <c r="J48" s="5"/>
      <c r="K48" s="5"/>
    </row>
    <row r="49" spans="1:16">
      <c r="H49" s="5"/>
      <c r="I49" s="5"/>
      <c r="J49" s="5"/>
      <c r="K49" s="5"/>
    </row>
    <row r="50" spans="1:16">
      <c r="A50" s="1"/>
    </row>
    <row r="51" spans="1:16">
      <c r="A51" s="4"/>
      <c r="B51" s="33" t="s">
        <v>124</v>
      </c>
      <c r="C51" s="32"/>
      <c r="D51" s="32"/>
      <c r="E51" s="32"/>
      <c r="F51" s="32"/>
      <c r="G51" s="32"/>
      <c r="H51" s="32"/>
      <c r="I51" s="32"/>
      <c r="J51" s="32"/>
      <c r="K51" s="32"/>
    </row>
    <row r="52" spans="1:16" ht="18">
      <c r="I52" s="30" t="s">
        <v>34</v>
      </c>
      <c r="J52" s="29"/>
    </row>
    <row r="54" spans="1:16" ht="21">
      <c r="H54" s="18" t="s">
        <v>35</v>
      </c>
      <c r="I54" s="18" t="s">
        <v>29</v>
      </c>
      <c r="J54" s="18" t="s">
        <v>36</v>
      </c>
      <c r="L54" t="s">
        <v>43</v>
      </c>
      <c r="O54" t="s">
        <v>43</v>
      </c>
    </row>
    <row r="55" spans="1:16">
      <c r="H55" s="10" t="s">
        <v>37</v>
      </c>
      <c r="I55" s="10">
        <v>90</v>
      </c>
      <c r="J55" s="10">
        <v>1000</v>
      </c>
      <c r="L55" t="s">
        <v>41</v>
      </c>
      <c r="M55" t="s">
        <v>42</v>
      </c>
      <c r="O55" t="s">
        <v>41</v>
      </c>
      <c r="P55" t="s">
        <v>42</v>
      </c>
    </row>
    <row r="56" spans="1:16">
      <c r="H56" s="10" t="s">
        <v>38</v>
      </c>
      <c r="I56" s="10">
        <v>150</v>
      </c>
      <c r="J56" s="10">
        <v>1200</v>
      </c>
    </row>
    <row r="57" spans="1:16">
      <c r="H57" s="10" t="s">
        <v>39</v>
      </c>
      <c r="I57" s="10">
        <v>250</v>
      </c>
      <c r="J57" s="10">
        <v>1500</v>
      </c>
    </row>
    <row r="59" spans="1:16">
      <c r="G59" s="1" t="s">
        <v>133</v>
      </c>
    </row>
    <row r="61" spans="1:16">
      <c r="F61" s="15" t="s">
        <v>40</v>
      </c>
      <c r="G61" s="13"/>
      <c r="H61" s="13"/>
      <c r="I61" s="13"/>
      <c r="J61" s="13"/>
      <c r="K61" s="13"/>
      <c r="L61" s="13"/>
      <c r="M61" s="13"/>
      <c r="N61" s="14">
        <f>AVERAGEIFS(J55:J57,I55:I57,O55,I55:I57,P55)</f>
        <v>1350</v>
      </c>
    </row>
    <row r="63" spans="1:16" ht="15" thickBot="1"/>
    <row r="64" spans="1:16" ht="15" thickBot="1">
      <c r="A64" s="5" t="s">
        <v>111</v>
      </c>
      <c r="G64" s="19" t="s">
        <v>45</v>
      </c>
      <c r="H64" s="19" t="s">
        <v>46</v>
      </c>
      <c r="I64" s="19" t="s">
        <v>47</v>
      </c>
      <c r="J64" s="19" t="s">
        <v>48</v>
      </c>
      <c r="K64" s="19" t="s">
        <v>49</v>
      </c>
      <c r="L64" s="19" t="s">
        <v>50</v>
      </c>
      <c r="M64" s="19" t="s">
        <v>51</v>
      </c>
    </row>
    <row r="65" spans="7:13" ht="15" thickBot="1">
      <c r="G65" s="20">
        <v>1001</v>
      </c>
      <c r="H65" s="21" t="s">
        <v>52</v>
      </c>
      <c r="I65" s="21" t="s">
        <v>53</v>
      </c>
      <c r="J65" s="21" t="s">
        <v>54</v>
      </c>
      <c r="K65" s="20">
        <v>10</v>
      </c>
      <c r="L65" s="20">
        <v>50</v>
      </c>
      <c r="M65" s="22">
        <v>45296</v>
      </c>
    </row>
    <row r="66" spans="7:13" ht="15" thickBot="1">
      <c r="G66" s="20">
        <v>1002</v>
      </c>
      <c r="H66" s="21" t="s">
        <v>55</v>
      </c>
      <c r="I66" s="21" t="s">
        <v>56</v>
      </c>
      <c r="J66" s="21" t="s">
        <v>57</v>
      </c>
      <c r="K66" s="20">
        <v>20</v>
      </c>
      <c r="L66" s="20">
        <v>10</v>
      </c>
      <c r="M66" s="22">
        <v>45297</v>
      </c>
    </row>
    <row r="67" spans="7:13" ht="15" thickBot="1">
      <c r="G67" s="20">
        <v>1003</v>
      </c>
      <c r="H67" s="21" t="s">
        <v>58</v>
      </c>
      <c r="I67" s="21" t="s">
        <v>59</v>
      </c>
      <c r="J67" s="21" t="s">
        <v>60</v>
      </c>
      <c r="K67" s="20">
        <v>15</v>
      </c>
      <c r="L67" s="20">
        <v>25</v>
      </c>
      <c r="M67" s="22">
        <v>45298</v>
      </c>
    </row>
    <row r="68" spans="7:13" ht="15" thickBot="1">
      <c r="G68" s="20">
        <v>1004</v>
      </c>
      <c r="H68" s="21" t="s">
        <v>61</v>
      </c>
      <c r="I68" s="21" t="s">
        <v>62</v>
      </c>
      <c r="J68" s="21" t="s">
        <v>54</v>
      </c>
      <c r="K68" s="20">
        <v>5</v>
      </c>
      <c r="L68" s="20">
        <v>50</v>
      </c>
      <c r="M68" s="22">
        <v>45299</v>
      </c>
    </row>
    <row r="69" spans="7:13" ht="15" thickBot="1">
      <c r="G69" s="20">
        <v>1005</v>
      </c>
      <c r="H69" s="21" t="s">
        <v>63</v>
      </c>
      <c r="I69" s="21" t="s">
        <v>53</v>
      </c>
      <c r="J69" s="21" t="s">
        <v>64</v>
      </c>
      <c r="K69" s="20">
        <v>30</v>
      </c>
      <c r="L69" s="20">
        <v>5</v>
      </c>
      <c r="M69" s="22">
        <v>45301</v>
      </c>
    </row>
    <row r="70" spans="7:13" ht="15" thickBot="1">
      <c r="G70" s="20">
        <v>1006</v>
      </c>
      <c r="H70" s="21" t="s">
        <v>65</v>
      </c>
      <c r="I70" s="21" t="s">
        <v>56</v>
      </c>
      <c r="J70" s="21" t="s">
        <v>54</v>
      </c>
      <c r="K70" s="20">
        <v>12</v>
      </c>
      <c r="L70" s="20">
        <v>50</v>
      </c>
      <c r="M70" s="22">
        <v>45302</v>
      </c>
    </row>
    <row r="71" spans="7:13" ht="15" thickBot="1">
      <c r="G71" s="20">
        <v>1007</v>
      </c>
      <c r="H71" s="21" t="s">
        <v>66</v>
      </c>
      <c r="I71" s="21" t="s">
        <v>59</v>
      </c>
      <c r="J71" s="21" t="s">
        <v>67</v>
      </c>
      <c r="K71" s="20">
        <v>25</v>
      </c>
      <c r="L71" s="20">
        <v>8</v>
      </c>
      <c r="M71" s="22">
        <v>45304</v>
      </c>
    </row>
    <row r="72" spans="7:13" ht="15" thickBot="1">
      <c r="G72" s="20">
        <v>1008</v>
      </c>
      <c r="H72" s="21" t="s">
        <v>68</v>
      </c>
      <c r="I72" s="21" t="s">
        <v>62</v>
      </c>
      <c r="J72" s="21" t="s">
        <v>57</v>
      </c>
      <c r="K72" s="20">
        <v>18</v>
      </c>
      <c r="L72" s="20">
        <v>10</v>
      </c>
      <c r="M72" s="22">
        <v>45306</v>
      </c>
    </row>
    <row r="73" spans="7:13" ht="15" thickBot="1">
      <c r="G73" s="20">
        <v>1009</v>
      </c>
      <c r="H73" s="21" t="s">
        <v>69</v>
      </c>
      <c r="I73" s="21" t="s">
        <v>53</v>
      </c>
      <c r="J73" s="21" t="s">
        <v>60</v>
      </c>
      <c r="K73" s="20">
        <v>22</v>
      </c>
      <c r="L73" s="20">
        <v>25</v>
      </c>
      <c r="M73" s="22">
        <v>45308</v>
      </c>
    </row>
    <row r="74" spans="7:13" ht="15" thickBot="1">
      <c r="G74" s="20">
        <v>1010</v>
      </c>
      <c r="H74" s="21" t="s">
        <v>70</v>
      </c>
      <c r="I74" s="21" t="s">
        <v>56</v>
      </c>
      <c r="J74" s="21" t="s">
        <v>54</v>
      </c>
      <c r="K74" s="20">
        <v>8</v>
      </c>
      <c r="L74" s="20">
        <v>50</v>
      </c>
      <c r="M74" s="22">
        <v>45309</v>
      </c>
    </row>
    <row r="75" spans="7:13" ht="15" thickBot="1">
      <c r="G75" s="20">
        <v>1011</v>
      </c>
      <c r="H75" s="21" t="s">
        <v>71</v>
      </c>
      <c r="I75" s="21" t="s">
        <v>59</v>
      </c>
      <c r="J75" s="21" t="s">
        <v>64</v>
      </c>
      <c r="K75" s="20">
        <v>40</v>
      </c>
      <c r="L75" s="20">
        <v>5</v>
      </c>
      <c r="M75" s="22">
        <v>45310</v>
      </c>
    </row>
    <row r="76" spans="7:13" ht="15" thickBot="1">
      <c r="G76" s="20">
        <v>1012</v>
      </c>
      <c r="H76" s="21" t="s">
        <v>72</v>
      </c>
      <c r="I76" s="21" t="s">
        <v>62</v>
      </c>
      <c r="J76" s="21" t="s">
        <v>67</v>
      </c>
      <c r="K76" s="20">
        <v>35</v>
      </c>
      <c r="L76" s="20">
        <v>8</v>
      </c>
      <c r="M76" s="22">
        <v>45311</v>
      </c>
    </row>
    <row r="77" spans="7:13" ht="15" thickBot="1">
      <c r="G77" s="20">
        <v>1013</v>
      </c>
      <c r="H77" s="21" t="s">
        <v>73</v>
      </c>
      <c r="I77" s="21" t="s">
        <v>53</v>
      </c>
      <c r="J77" s="21" t="s">
        <v>54</v>
      </c>
      <c r="K77" s="20">
        <v>14</v>
      </c>
      <c r="L77" s="20">
        <v>50</v>
      </c>
      <c r="M77" s="22">
        <v>45313</v>
      </c>
    </row>
    <row r="78" spans="7:13" ht="15" thickBot="1">
      <c r="G78" s="20">
        <v>1014</v>
      </c>
      <c r="H78" s="21" t="s">
        <v>74</v>
      </c>
      <c r="I78" s="21" t="s">
        <v>56</v>
      </c>
      <c r="J78" s="21" t="s">
        <v>57</v>
      </c>
      <c r="K78" s="20">
        <v>28</v>
      </c>
      <c r="L78" s="20">
        <v>10</v>
      </c>
      <c r="M78" s="22">
        <v>45314</v>
      </c>
    </row>
    <row r="79" spans="7:13" ht="15" thickBot="1">
      <c r="G79" s="20">
        <v>1015</v>
      </c>
      <c r="H79" s="21" t="s">
        <v>75</v>
      </c>
      <c r="I79" s="21" t="s">
        <v>59</v>
      </c>
      <c r="J79" s="21" t="s">
        <v>60</v>
      </c>
      <c r="K79" s="20">
        <v>12</v>
      </c>
      <c r="L79" s="20">
        <v>25</v>
      </c>
      <c r="M79" s="22">
        <v>45315</v>
      </c>
    </row>
    <row r="80" spans="7:13" ht="15" thickBot="1">
      <c r="G80" s="20">
        <v>1016</v>
      </c>
      <c r="H80" s="21" t="s">
        <v>76</v>
      </c>
      <c r="I80" s="21" t="s">
        <v>62</v>
      </c>
      <c r="J80" s="21" t="s">
        <v>64</v>
      </c>
      <c r="K80" s="20">
        <v>25</v>
      </c>
      <c r="L80" s="20">
        <v>5</v>
      </c>
      <c r="M80" s="22">
        <v>45317</v>
      </c>
    </row>
    <row r="81" spans="7:13" ht="15" thickBot="1">
      <c r="G81" s="20">
        <v>1017</v>
      </c>
      <c r="H81" s="21" t="s">
        <v>77</v>
      </c>
      <c r="I81" s="21" t="s">
        <v>53</v>
      </c>
      <c r="J81" s="21" t="s">
        <v>67</v>
      </c>
      <c r="K81" s="20">
        <v>20</v>
      </c>
      <c r="L81" s="20">
        <v>8</v>
      </c>
      <c r="M81" s="22">
        <v>45319</v>
      </c>
    </row>
    <row r="82" spans="7:13" ht="15" thickBot="1">
      <c r="G82" s="20">
        <v>1018</v>
      </c>
      <c r="H82" s="21" t="s">
        <v>78</v>
      </c>
      <c r="I82" s="21" t="s">
        <v>56</v>
      </c>
      <c r="J82" s="21" t="s">
        <v>54</v>
      </c>
      <c r="K82" s="20">
        <v>10</v>
      </c>
      <c r="L82" s="20">
        <v>50</v>
      </c>
      <c r="M82" s="22">
        <v>45320</v>
      </c>
    </row>
    <row r="83" spans="7:13" ht="15" thickBot="1">
      <c r="G83" s="20">
        <v>1019</v>
      </c>
      <c r="H83" s="21" t="s">
        <v>79</v>
      </c>
      <c r="I83" s="21" t="s">
        <v>59</v>
      </c>
      <c r="J83" s="21" t="s">
        <v>57</v>
      </c>
      <c r="K83" s="20">
        <v>15</v>
      </c>
      <c r="L83" s="20">
        <v>10</v>
      </c>
      <c r="M83" s="22">
        <v>45321</v>
      </c>
    </row>
    <row r="84" spans="7:13" ht="15" thickBot="1">
      <c r="G84" s="20">
        <v>1020</v>
      </c>
      <c r="H84" s="21" t="s">
        <v>80</v>
      </c>
      <c r="I84" s="21" t="s">
        <v>62</v>
      </c>
      <c r="J84" s="21" t="s">
        <v>60</v>
      </c>
      <c r="K84" s="20">
        <v>18</v>
      </c>
      <c r="L84" s="20">
        <v>25</v>
      </c>
      <c r="M84" s="22">
        <v>45323</v>
      </c>
    </row>
    <row r="85" spans="7:13" ht="15" thickBot="1">
      <c r="G85" s="20">
        <v>1021</v>
      </c>
      <c r="H85" s="21" t="s">
        <v>81</v>
      </c>
      <c r="I85" s="21" t="s">
        <v>53</v>
      </c>
      <c r="J85" s="21" t="s">
        <v>54</v>
      </c>
      <c r="K85" s="20">
        <v>9</v>
      </c>
      <c r="L85" s="20">
        <v>50</v>
      </c>
      <c r="M85" s="22">
        <v>45324</v>
      </c>
    </row>
    <row r="86" spans="7:13" ht="15" thickBot="1">
      <c r="G86" s="20">
        <v>1022</v>
      </c>
      <c r="H86" s="21" t="s">
        <v>82</v>
      </c>
      <c r="I86" s="21" t="s">
        <v>56</v>
      </c>
      <c r="J86" s="21" t="s">
        <v>64</v>
      </c>
      <c r="K86" s="20">
        <v>35</v>
      </c>
      <c r="L86" s="20">
        <v>5</v>
      </c>
      <c r="M86" s="22">
        <v>45325</v>
      </c>
    </row>
    <row r="87" spans="7:13" ht="15" thickBot="1">
      <c r="G87" s="20">
        <v>1023</v>
      </c>
      <c r="H87" s="21" t="s">
        <v>83</v>
      </c>
      <c r="I87" s="21" t="s">
        <v>59</v>
      </c>
      <c r="J87" s="21" t="s">
        <v>67</v>
      </c>
      <c r="K87" s="20">
        <v>30</v>
      </c>
      <c r="L87" s="20">
        <v>8</v>
      </c>
      <c r="M87" s="22">
        <v>45326</v>
      </c>
    </row>
    <row r="88" spans="7:13" ht="15" thickBot="1">
      <c r="G88" s="20">
        <v>1024</v>
      </c>
      <c r="H88" s="21" t="s">
        <v>84</v>
      </c>
      <c r="I88" s="21" t="s">
        <v>62</v>
      </c>
      <c r="J88" s="21" t="s">
        <v>54</v>
      </c>
      <c r="K88" s="20">
        <v>11</v>
      </c>
      <c r="L88" s="20">
        <v>50</v>
      </c>
      <c r="M88" s="22">
        <v>45328</v>
      </c>
    </row>
    <row r="89" spans="7:13" ht="15" thickBot="1">
      <c r="G89" s="20">
        <v>1025</v>
      </c>
      <c r="H89" s="21" t="s">
        <v>85</v>
      </c>
      <c r="I89" s="21" t="s">
        <v>53</v>
      </c>
      <c r="J89" s="21" t="s">
        <v>57</v>
      </c>
      <c r="K89" s="20">
        <v>14</v>
      </c>
      <c r="L89" s="20">
        <v>10</v>
      </c>
      <c r="M89" s="22">
        <v>45329</v>
      </c>
    </row>
    <row r="90" spans="7:13" ht="15" thickBot="1">
      <c r="G90" s="20">
        <v>1026</v>
      </c>
      <c r="H90" s="21" t="s">
        <v>86</v>
      </c>
      <c r="I90" s="21" t="s">
        <v>56</v>
      </c>
      <c r="J90" s="21" t="s">
        <v>60</v>
      </c>
      <c r="K90" s="20">
        <v>16</v>
      </c>
      <c r="L90" s="20">
        <v>25</v>
      </c>
      <c r="M90" s="22">
        <v>45330</v>
      </c>
    </row>
    <row r="91" spans="7:13" ht="15" thickBot="1">
      <c r="G91" s="20">
        <v>1027</v>
      </c>
      <c r="H91" s="21" t="s">
        <v>87</v>
      </c>
      <c r="I91" s="21" t="s">
        <v>59</v>
      </c>
      <c r="J91" s="21" t="s">
        <v>64</v>
      </c>
      <c r="K91" s="20">
        <v>22</v>
      </c>
      <c r="L91" s="20">
        <v>5</v>
      </c>
      <c r="M91" s="22">
        <v>45331</v>
      </c>
    </row>
    <row r="92" spans="7:13" ht="15" thickBot="1">
      <c r="G92" s="20">
        <v>1028</v>
      </c>
      <c r="H92" s="21" t="s">
        <v>88</v>
      </c>
      <c r="I92" s="21" t="s">
        <v>62</v>
      </c>
      <c r="J92" s="21" t="s">
        <v>67</v>
      </c>
      <c r="K92" s="20">
        <v>27</v>
      </c>
      <c r="L92" s="20">
        <v>8</v>
      </c>
      <c r="M92" s="22">
        <v>45332</v>
      </c>
    </row>
    <row r="93" spans="7:13" ht="15" thickBot="1">
      <c r="G93" s="20">
        <v>1029</v>
      </c>
      <c r="H93" s="21" t="s">
        <v>89</v>
      </c>
      <c r="I93" s="21" t="s">
        <v>53</v>
      </c>
      <c r="J93" s="21" t="s">
        <v>54</v>
      </c>
      <c r="K93" s="20">
        <v>13</v>
      </c>
      <c r="L93" s="20">
        <v>50</v>
      </c>
      <c r="M93" s="22">
        <v>45334</v>
      </c>
    </row>
    <row r="94" spans="7:13" ht="15" thickBot="1">
      <c r="G94" s="20">
        <v>1030</v>
      </c>
      <c r="H94" s="21" t="s">
        <v>90</v>
      </c>
      <c r="I94" s="21" t="s">
        <v>56</v>
      </c>
      <c r="J94" s="21" t="s">
        <v>57</v>
      </c>
      <c r="K94" s="20">
        <v>32</v>
      </c>
      <c r="L94" s="20">
        <v>10</v>
      </c>
      <c r="M94" s="22">
        <v>45335</v>
      </c>
    </row>
    <row r="95" spans="7:13" ht="15" thickBot="1">
      <c r="G95" s="20">
        <v>1031</v>
      </c>
      <c r="H95" s="21" t="s">
        <v>91</v>
      </c>
      <c r="I95" s="21" t="s">
        <v>59</v>
      </c>
      <c r="J95" s="21" t="s">
        <v>60</v>
      </c>
      <c r="K95" s="20">
        <v>10</v>
      </c>
      <c r="L95" s="20">
        <v>25</v>
      </c>
      <c r="M95" s="22">
        <v>45336</v>
      </c>
    </row>
    <row r="96" spans="7:13" ht="15" thickBot="1">
      <c r="G96" s="20">
        <v>1032</v>
      </c>
      <c r="H96" s="21" t="s">
        <v>92</v>
      </c>
      <c r="I96" s="21" t="s">
        <v>62</v>
      </c>
      <c r="J96" s="21" t="s">
        <v>64</v>
      </c>
      <c r="K96" s="20">
        <v>18</v>
      </c>
      <c r="L96" s="20">
        <v>5</v>
      </c>
      <c r="M96" s="22">
        <v>45338</v>
      </c>
    </row>
    <row r="97" spans="7:13" ht="15" thickBot="1">
      <c r="G97" s="20">
        <v>1033</v>
      </c>
      <c r="H97" s="21" t="s">
        <v>93</v>
      </c>
      <c r="I97" s="21" t="s">
        <v>53</v>
      </c>
      <c r="J97" s="21" t="s">
        <v>67</v>
      </c>
      <c r="K97" s="20">
        <v>22</v>
      </c>
      <c r="L97" s="20">
        <v>8</v>
      </c>
      <c r="M97" s="22">
        <v>45339</v>
      </c>
    </row>
    <row r="98" spans="7:13" ht="15" thickBot="1">
      <c r="G98" s="20">
        <v>1034</v>
      </c>
      <c r="H98" s="21" t="s">
        <v>94</v>
      </c>
      <c r="I98" s="21" t="s">
        <v>56</v>
      </c>
      <c r="J98" s="21" t="s">
        <v>54</v>
      </c>
      <c r="K98" s="20">
        <v>17</v>
      </c>
      <c r="L98" s="20">
        <v>50</v>
      </c>
      <c r="M98" s="22">
        <v>45340</v>
      </c>
    </row>
    <row r="99" spans="7:13" ht="15" thickBot="1">
      <c r="G99" s="20">
        <v>1035</v>
      </c>
      <c r="H99" s="21" t="s">
        <v>95</v>
      </c>
      <c r="I99" s="21" t="s">
        <v>59</v>
      </c>
      <c r="J99" s="21" t="s">
        <v>57</v>
      </c>
      <c r="K99" s="20">
        <v>19</v>
      </c>
      <c r="L99" s="20">
        <v>10</v>
      </c>
      <c r="M99" s="22">
        <v>45341</v>
      </c>
    </row>
    <row r="100" spans="7:13" ht="15" thickBot="1">
      <c r="G100" s="20">
        <v>1036</v>
      </c>
      <c r="H100" s="21" t="s">
        <v>96</v>
      </c>
      <c r="I100" s="21" t="s">
        <v>62</v>
      </c>
      <c r="J100" s="21" t="s">
        <v>60</v>
      </c>
      <c r="K100" s="20">
        <v>15</v>
      </c>
      <c r="L100" s="20">
        <v>25</v>
      </c>
      <c r="M100" s="22">
        <v>45343</v>
      </c>
    </row>
    <row r="101" spans="7:13" ht="15" thickBot="1">
      <c r="G101" s="20">
        <v>1037</v>
      </c>
      <c r="H101" s="21" t="s">
        <v>97</v>
      </c>
      <c r="I101" s="21" t="s">
        <v>53</v>
      </c>
      <c r="J101" s="21" t="s">
        <v>64</v>
      </c>
      <c r="K101" s="20">
        <v>28</v>
      </c>
      <c r="L101" s="20">
        <v>5</v>
      </c>
      <c r="M101" s="22">
        <v>45344</v>
      </c>
    </row>
    <row r="102" spans="7:13" ht="15" thickBot="1">
      <c r="G102" s="20">
        <v>1038</v>
      </c>
      <c r="H102" s="21" t="s">
        <v>98</v>
      </c>
      <c r="I102" s="21" t="s">
        <v>56</v>
      </c>
      <c r="J102" s="21" t="s">
        <v>67</v>
      </c>
      <c r="K102" s="20">
        <v>24</v>
      </c>
      <c r="L102" s="20">
        <v>8</v>
      </c>
      <c r="M102" s="22">
        <v>45345</v>
      </c>
    </row>
    <row r="103" spans="7:13" ht="15" thickBot="1">
      <c r="G103" s="20">
        <v>1039</v>
      </c>
      <c r="H103" s="21" t="s">
        <v>99</v>
      </c>
      <c r="I103" s="21" t="s">
        <v>59</v>
      </c>
      <c r="J103" s="21" t="s">
        <v>54</v>
      </c>
      <c r="K103" s="20">
        <v>16</v>
      </c>
      <c r="L103" s="20">
        <v>50</v>
      </c>
      <c r="M103" s="22">
        <v>45347</v>
      </c>
    </row>
    <row r="104" spans="7:13" ht="15" thickBot="1">
      <c r="G104" s="20">
        <v>1040</v>
      </c>
      <c r="H104" s="21" t="s">
        <v>100</v>
      </c>
      <c r="I104" s="21" t="s">
        <v>62</v>
      </c>
      <c r="J104" s="21" t="s">
        <v>57</v>
      </c>
      <c r="K104" s="20">
        <v>27</v>
      </c>
      <c r="L104" s="20">
        <v>10</v>
      </c>
      <c r="M104" s="22">
        <v>45348</v>
      </c>
    </row>
    <row r="105" spans="7:13" ht="15" thickBot="1">
      <c r="G105" s="20">
        <v>1041</v>
      </c>
      <c r="H105" s="21" t="s">
        <v>101</v>
      </c>
      <c r="I105" s="21" t="s">
        <v>53</v>
      </c>
      <c r="J105" s="21" t="s">
        <v>60</v>
      </c>
      <c r="K105" s="20">
        <v>21</v>
      </c>
      <c r="L105" s="20">
        <v>25</v>
      </c>
      <c r="M105" s="22">
        <v>45349</v>
      </c>
    </row>
    <row r="106" spans="7:13" ht="15" thickBot="1">
      <c r="G106" s="20">
        <v>1042</v>
      </c>
      <c r="H106" s="21" t="s">
        <v>102</v>
      </c>
      <c r="I106" s="21" t="s">
        <v>56</v>
      </c>
      <c r="J106" s="21" t="s">
        <v>64</v>
      </c>
      <c r="K106" s="20">
        <v>30</v>
      </c>
      <c r="L106" s="20">
        <v>5</v>
      </c>
      <c r="M106" s="22">
        <v>45350</v>
      </c>
    </row>
    <row r="107" spans="7:13" ht="15" thickBot="1">
      <c r="G107" s="20">
        <v>1043</v>
      </c>
      <c r="H107" s="21" t="s">
        <v>103</v>
      </c>
      <c r="I107" s="21" t="s">
        <v>59</v>
      </c>
      <c r="J107" s="21" t="s">
        <v>67</v>
      </c>
      <c r="K107" s="20">
        <v>26</v>
      </c>
      <c r="L107" s="20">
        <v>8</v>
      </c>
      <c r="M107" s="22">
        <v>45352</v>
      </c>
    </row>
    <row r="108" spans="7:13" ht="15" thickBot="1">
      <c r="G108" s="20">
        <v>1044</v>
      </c>
      <c r="H108" s="21" t="s">
        <v>104</v>
      </c>
      <c r="I108" s="21" t="s">
        <v>62</v>
      </c>
      <c r="J108" s="21" t="s">
        <v>54</v>
      </c>
      <c r="K108" s="20">
        <v>14</v>
      </c>
      <c r="L108" s="20">
        <v>50</v>
      </c>
      <c r="M108" s="22">
        <v>45353</v>
      </c>
    </row>
    <row r="109" spans="7:13" ht="15" thickBot="1">
      <c r="G109" s="20">
        <v>1045</v>
      </c>
      <c r="H109" s="21" t="s">
        <v>105</v>
      </c>
      <c r="I109" s="21" t="s">
        <v>53</v>
      </c>
      <c r="J109" s="21" t="s">
        <v>57</v>
      </c>
      <c r="K109" s="20">
        <v>20</v>
      </c>
      <c r="L109" s="20">
        <v>10</v>
      </c>
      <c r="M109" s="22">
        <v>45354</v>
      </c>
    </row>
    <row r="110" spans="7:13" ht="15" thickBot="1">
      <c r="G110" s="20">
        <v>1046</v>
      </c>
      <c r="H110" s="21" t="s">
        <v>106</v>
      </c>
      <c r="I110" s="21" t="s">
        <v>56</v>
      </c>
      <c r="J110" s="21" t="s">
        <v>60</v>
      </c>
      <c r="K110" s="20">
        <v>17</v>
      </c>
      <c r="L110" s="20">
        <v>25</v>
      </c>
      <c r="M110" s="22">
        <v>45355</v>
      </c>
    </row>
    <row r="111" spans="7:13" ht="15" thickBot="1">
      <c r="G111" s="20">
        <v>1047</v>
      </c>
      <c r="H111" s="21" t="s">
        <v>107</v>
      </c>
      <c r="I111" s="21" t="s">
        <v>59</v>
      </c>
      <c r="J111" s="21" t="s">
        <v>64</v>
      </c>
      <c r="K111" s="20">
        <v>19</v>
      </c>
      <c r="L111" s="20">
        <v>5</v>
      </c>
      <c r="M111" s="22">
        <v>45356</v>
      </c>
    </row>
    <row r="112" spans="7:13" ht="15" thickBot="1">
      <c r="G112" s="20">
        <v>1048</v>
      </c>
      <c r="H112" s="21" t="s">
        <v>108</v>
      </c>
      <c r="I112" s="21" t="s">
        <v>62</v>
      </c>
      <c r="J112" s="21" t="s">
        <v>67</v>
      </c>
      <c r="K112" s="20">
        <v>32</v>
      </c>
      <c r="L112" s="20">
        <v>8</v>
      </c>
      <c r="M112" s="22">
        <v>45357</v>
      </c>
    </row>
    <row r="113" spans="2:13" ht="15" thickBot="1">
      <c r="G113" s="20">
        <v>1049</v>
      </c>
      <c r="H113" s="21" t="s">
        <v>109</v>
      </c>
      <c r="I113" s="21" t="s">
        <v>53</v>
      </c>
      <c r="J113" s="21" t="s">
        <v>54</v>
      </c>
      <c r="K113" s="20">
        <v>12</v>
      </c>
      <c r="L113" s="20">
        <v>50</v>
      </c>
      <c r="M113" s="22">
        <v>45358</v>
      </c>
    </row>
    <row r="114" spans="2:13" ht="15" thickBot="1">
      <c r="G114" s="20">
        <v>1050</v>
      </c>
      <c r="H114" s="21" t="s">
        <v>110</v>
      </c>
      <c r="I114" s="21" t="s">
        <v>56</v>
      </c>
      <c r="J114" s="21" t="s">
        <v>57</v>
      </c>
      <c r="K114" s="20">
        <v>25</v>
      </c>
      <c r="L114" s="20">
        <v>10</v>
      </c>
      <c r="M114" s="22">
        <v>45359</v>
      </c>
    </row>
    <row r="115" spans="2:13">
      <c r="G115" s="34"/>
      <c r="H115" s="35"/>
      <c r="I115" s="35"/>
      <c r="J115" s="35"/>
      <c r="K115" s="34"/>
      <c r="L115" s="34"/>
      <c r="M115" s="36"/>
    </row>
    <row r="116" spans="2:13">
      <c r="B116" s="33" t="s">
        <v>125</v>
      </c>
      <c r="C116" s="32"/>
      <c r="D116" s="32"/>
      <c r="E116" s="32"/>
      <c r="F116" s="32"/>
    </row>
    <row r="117" spans="2:13" ht="18">
      <c r="I117" s="30" t="s">
        <v>44</v>
      </c>
      <c r="J117" s="29"/>
    </row>
    <row r="119" spans="2:13" ht="15.6">
      <c r="G119" s="23" t="s">
        <v>113</v>
      </c>
      <c r="H119" s="24"/>
      <c r="I119" s="24"/>
      <c r="J119" s="24"/>
      <c r="K119" s="25">
        <f>COUNTA(H65:H114)</f>
        <v>50</v>
      </c>
    </row>
    <row r="120" spans="2:13" ht="15.6">
      <c r="E120" s="1" t="s">
        <v>134</v>
      </c>
      <c r="G120" s="9"/>
      <c r="H120" s="9"/>
      <c r="I120" s="9"/>
      <c r="J120" s="9"/>
      <c r="K120" s="9"/>
    </row>
    <row r="121" spans="2:13" ht="15.6">
      <c r="G121" s="9"/>
      <c r="H121" s="9"/>
      <c r="I121" s="9"/>
      <c r="J121" s="9"/>
      <c r="K121" s="9"/>
    </row>
    <row r="122" spans="2:13">
      <c r="B122" s="33" t="s">
        <v>126</v>
      </c>
      <c r="C122" s="32"/>
      <c r="D122" s="32"/>
      <c r="E122" s="32"/>
      <c r="F122" s="32"/>
      <c r="G122" s="32"/>
    </row>
    <row r="123" spans="2:13" ht="18">
      <c r="I123" s="30" t="s">
        <v>112</v>
      </c>
      <c r="J123" s="29"/>
    </row>
    <row r="125" spans="2:13" ht="15.6">
      <c r="G125" s="26"/>
      <c r="H125" s="26"/>
      <c r="I125" t="s">
        <v>115</v>
      </c>
    </row>
    <row r="126" spans="2:13" ht="15" thickBot="1"/>
    <row r="127" spans="2:13" ht="29.4" thickBot="1">
      <c r="E127" s="19" t="s">
        <v>45</v>
      </c>
      <c r="F127" s="19" t="s">
        <v>46</v>
      </c>
      <c r="G127" s="19" t="s">
        <v>47</v>
      </c>
      <c r="H127" s="19" t="s">
        <v>48</v>
      </c>
      <c r="I127" s="19" t="s">
        <v>49</v>
      </c>
      <c r="J127" s="19" t="s">
        <v>50</v>
      </c>
      <c r="K127" s="19" t="s">
        <v>51</v>
      </c>
      <c r="L127" s="27" t="s">
        <v>114</v>
      </c>
    </row>
    <row r="128" spans="2:13" ht="29.4" thickBot="1">
      <c r="E128" s="20">
        <v>1001</v>
      </c>
      <c r="F128" s="21" t="s">
        <v>52</v>
      </c>
      <c r="G128" s="21" t="s">
        <v>53</v>
      </c>
      <c r="H128" s="21" t="s">
        <v>54</v>
      </c>
      <c r="I128" s="20">
        <v>10</v>
      </c>
      <c r="J128" s="20">
        <v>50</v>
      </c>
      <c r="K128" s="22">
        <v>45296</v>
      </c>
      <c r="L128">
        <f>SUMPRODUCT($I128,$J128)</f>
        <v>500</v>
      </c>
    </row>
    <row r="129" spans="5:12" ht="29.4" thickBot="1">
      <c r="E129" s="20">
        <v>1002</v>
      </c>
      <c r="F129" s="21" t="s">
        <v>55</v>
      </c>
      <c r="G129" s="21" t="s">
        <v>56</v>
      </c>
      <c r="H129" s="21" t="s">
        <v>57</v>
      </c>
      <c r="I129" s="20">
        <v>20</v>
      </c>
      <c r="J129" s="20">
        <v>10</v>
      </c>
      <c r="K129" s="22">
        <v>45297</v>
      </c>
      <c r="L129">
        <f t="shared" ref="L129:L177" si="0">SUMPRODUCT($I129,$J129)</f>
        <v>200</v>
      </c>
    </row>
    <row r="130" spans="5:12" ht="29.4" thickBot="1">
      <c r="E130" s="20">
        <v>1003</v>
      </c>
      <c r="F130" s="21" t="s">
        <v>58</v>
      </c>
      <c r="G130" s="21" t="s">
        <v>59</v>
      </c>
      <c r="H130" s="21" t="s">
        <v>60</v>
      </c>
      <c r="I130" s="20">
        <v>15</v>
      </c>
      <c r="J130" s="20">
        <v>25</v>
      </c>
      <c r="K130" s="22">
        <v>45298</v>
      </c>
      <c r="L130">
        <f t="shared" si="0"/>
        <v>375</v>
      </c>
    </row>
    <row r="131" spans="5:12" ht="29.4" thickBot="1">
      <c r="E131" s="20">
        <v>1004</v>
      </c>
      <c r="F131" s="21" t="s">
        <v>61</v>
      </c>
      <c r="G131" s="21" t="s">
        <v>62</v>
      </c>
      <c r="H131" s="21" t="s">
        <v>54</v>
      </c>
      <c r="I131" s="20">
        <v>5</v>
      </c>
      <c r="J131" s="20">
        <v>50</v>
      </c>
      <c r="K131" s="22">
        <v>45299</v>
      </c>
      <c r="L131">
        <f t="shared" si="0"/>
        <v>250</v>
      </c>
    </row>
    <row r="132" spans="5:12" ht="15" thickBot="1">
      <c r="E132" s="20">
        <v>1005</v>
      </c>
      <c r="F132" s="21" t="s">
        <v>63</v>
      </c>
      <c r="G132" s="21" t="s">
        <v>53</v>
      </c>
      <c r="H132" s="21" t="s">
        <v>64</v>
      </c>
      <c r="I132" s="20">
        <v>30</v>
      </c>
      <c r="J132" s="20">
        <v>5</v>
      </c>
      <c r="K132" s="22">
        <v>45301</v>
      </c>
      <c r="L132">
        <f t="shared" si="0"/>
        <v>150</v>
      </c>
    </row>
    <row r="133" spans="5:12" ht="29.4" thickBot="1">
      <c r="E133" s="20">
        <v>1006</v>
      </c>
      <c r="F133" s="21" t="s">
        <v>65</v>
      </c>
      <c r="G133" s="21" t="s">
        <v>56</v>
      </c>
      <c r="H133" s="21" t="s">
        <v>54</v>
      </c>
      <c r="I133" s="20">
        <v>12</v>
      </c>
      <c r="J133" s="20">
        <v>50</v>
      </c>
      <c r="K133" s="22">
        <v>45302</v>
      </c>
      <c r="L133">
        <f t="shared" si="0"/>
        <v>600</v>
      </c>
    </row>
    <row r="134" spans="5:12" ht="29.4" thickBot="1">
      <c r="E134" s="20">
        <v>1007</v>
      </c>
      <c r="F134" s="21" t="s">
        <v>66</v>
      </c>
      <c r="G134" s="21" t="s">
        <v>59</v>
      </c>
      <c r="H134" s="21" t="s">
        <v>67</v>
      </c>
      <c r="I134" s="20">
        <v>25</v>
      </c>
      <c r="J134" s="20">
        <v>8</v>
      </c>
      <c r="K134" s="22">
        <v>45304</v>
      </c>
      <c r="L134">
        <f t="shared" si="0"/>
        <v>200</v>
      </c>
    </row>
    <row r="135" spans="5:12" ht="29.4" thickBot="1">
      <c r="E135" s="20">
        <v>1008</v>
      </c>
      <c r="F135" s="21" t="s">
        <v>68</v>
      </c>
      <c r="G135" s="21" t="s">
        <v>62</v>
      </c>
      <c r="H135" s="21" t="s">
        <v>57</v>
      </c>
      <c r="I135" s="20">
        <v>18</v>
      </c>
      <c r="J135" s="20">
        <v>10</v>
      </c>
      <c r="K135" s="22">
        <v>45306</v>
      </c>
      <c r="L135">
        <f t="shared" si="0"/>
        <v>180</v>
      </c>
    </row>
    <row r="136" spans="5:12" ht="29.4" thickBot="1">
      <c r="E136" s="20">
        <v>1009</v>
      </c>
      <c r="F136" s="21" t="s">
        <v>69</v>
      </c>
      <c r="G136" s="21" t="s">
        <v>53</v>
      </c>
      <c r="H136" s="21" t="s">
        <v>60</v>
      </c>
      <c r="I136" s="20">
        <v>22</v>
      </c>
      <c r="J136" s="20">
        <v>25</v>
      </c>
      <c r="K136" s="22">
        <v>45308</v>
      </c>
      <c r="L136">
        <f t="shared" si="0"/>
        <v>550</v>
      </c>
    </row>
    <row r="137" spans="5:12" ht="29.4" thickBot="1">
      <c r="E137" s="20">
        <v>1010</v>
      </c>
      <c r="F137" s="21" t="s">
        <v>70</v>
      </c>
      <c r="G137" s="21" t="s">
        <v>56</v>
      </c>
      <c r="H137" s="21" t="s">
        <v>54</v>
      </c>
      <c r="I137" s="20">
        <v>8</v>
      </c>
      <c r="J137" s="20">
        <v>50</v>
      </c>
      <c r="K137" s="22">
        <v>45309</v>
      </c>
      <c r="L137">
        <f t="shared" si="0"/>
        <v>400</v>
      </c>
    </row>
    <row r="138" spans="5:12" ht="15" thickBot="1">
      <c r="E138" s="20">
        <v>1011</v>
      </c>
      <c r="F138" s="21" t="s">
        <v>71</v>
      </c>
      <c r="G138" s="21" t="s">
        <v>59</v>
      </c>
      <c r="H138" s="21" t="s">
        <v>64</v>
      </c>
      <c r="I138" s="20">
        <v>40</v>
      </c>
      <c r="J138" s="20">
        <v>5</v>
      </c>
      <c r="K138" s="22">
        <v>45310</v>
      </c>
      <c r="L138">
        <f t="shared" si="0"/>
        <v>200</v>
      </c>
    </row>
    <row r="139" spans="5:12" ht="29.4" thickBot="1">
      <c r="E139" s="20">
        <v>1012</v>
      </c>
      <c r="F139" s="21" t="s">
        <v>72</v>
      </c>
      <c r="G139" s="21" t="s">
        <v>62</v>
      </c>
      <c r="H139" s="21" t="s">
        <v>67</v>
      </c>
      <c r="I139" s="20">
        <v>35</v>
      </c>
      <c r="J139" s="20">
        <v>8</v>
      </c>
      <c r="K139" s="22">
        <v>45311</v>
      </c>
      <c r="L139">
        <f t="shared" si="0"/>
        <v>280</v>
      </c>
    </row>
    <row r="140" spans="5:12" ht="29.4" thickBot="1">
      <c r="E140" s="20">
        <v>1013</v>
      </c>
      <c r="F140" s="21" t="s">
        <v>73</v>
      </c>
      <c r="G140" s="21" t="s">
        <v>53</v>
      </c>
      <c r="H140" s="21" t="s">
        <v>54</v>
      </c>
      <c r="I140" s="20">
        <v>14</v>
      </c>
      <c r="J140" s="20">
        <v>50</v>
      </c>
      <c r="K140" s="22">
        <v>45313</v>
      </c>
      <c r="L140">
        <f t="shared" si="0"/>
        <v>700</v>
      </c>
    </row>
    <row r="141" spans="5:12" ht="29.4" thickBot="1">
      <c r="E141" s="20">
        <v>1014</v>
      </c>
      <c r="F141" s="21" t="s">
        <v>74</v>
      </c>
      <c r="G141" s="21" t="s">
        <v>56</v>
      </c>
      <c r="H141" s="21" t="s">
        <v>57</v>
      </c>
      <c r="I141" s="20">
        <v>28</v>
      </c>
      <c r="J141" s="20">
        <v>10</v>
      </c>
      <c r="K141" s="22">
        <v>45314</v>
      </c>
      <c r="L141">
        <f t="shared" si="0"/>
        <v>280</v>
      </c>
    </row>
    <row r="142" spans="5:12" ht="29.4" thickBot="1">
      <c r="E142" s="20">
        <v>1015</v>
      </c>
      <c r="F142" s="21" t="s">
        <v>75</v>
      </c>
      <c r="G142" s="21" t="s">
        <v>59</v>
      </c>
      <c r="H142" s="21" t="s">
        <v>60</v>
      </c>
      <c r="I142" s="20">
        <v>12</v>
      </c>
      <c r="J142" s="20">
        <v>25</v>
      </c>
      <c r="K142" s="22">
        <v>45315</v>
      </c>
      <c r="L142">
        <f t="shared" si="0"/>
        <v>300</v>
      </c>
    </row>
    <row r="143" spans="5:12" ht="29.4" thickBot="1">
      <c r="E143" s="20">
        <v>1016</v>
      </c>
      <c r="F143" s="21" t="s">
        <v>76</v>
      </c>
      <c r="G143" s="21" t="s">
        <v>62</v>
      </c>
      <c r="H143" s="21" t="s">
        <v>64</v>
      </c>
      <c r="I143" s="20">
        <v>25</v>
      </c>
      <c r="J143" s="20">
        <v>5</v>
      </c>
      <c r="K143" s="22">
        <v>45317</v>
      </c>
      <c r="L143">
        <f t="shared" si="0"/>
        <v>125</v>
      </c>
    </row>
    <row r="144" spans="5:12" ht="29.4" thickBot="1">
      <c r="E144" s="20">
        <v>1017</v>
      </c>
      <c r="F144" s="21" t="s">
        <v>77</v>
      </c>
      <c r="G144" s="21" t="s">
        <v>53</v>
      </c>
      <c r="H144" s="21" t="s">
        <v>67</v>
      </c>
      <c r="I144" s="20">
        <v>20</v>
      </c>
      <c r="J144" s="20">
        <v>8</v>
      </c>
      <c r="K144" s="22">
        <v>45319</v>
      </c>
      <c r="L144">
        <f t="shared" si="0"/>
        <v>160</v>
      </c>
    </row>
    <row r="145" spans="5:12" ht="29.4" thickBot="1">
      <c r="E145" s="20">
        <v>1018</v>
      </c>
      <c r="F145" s="21" t="s">
        <v>78</v>
      </c>
      <c r="G145" s="21" t="s">
        <v>56</v>
      </c>
      <c r="H145" s="21" t="s">
        <v>54</v>
      </c>
      <c r="I145" s="20">
        <v>10</v>
      </c>
      <c r="J145" s="20">
        <v>50</v>
      </c>
      <c r="K145" s="22">
        <v>45320</v>
      </c>
      <c r="L145">
        <f t="shared" si="0"/>
        <v>500</v>
      </c>
    </row>
    <row r="146" spans="5:12" ht="29.4" thickBot="1">
      <c r="E146" s="20">
        <v>1019</v>
      </c>
      <c r="F146" s="21" t="s">
        <v>79</v>
      </c>
      <c r="G146" s="21" t="s">
        <v>59</v>
      </c>
      <c r="H146" s="21" t="s">
        <v>57</v>
      </c>
      <c r="I146" s="20">
        <v>15</v>
      </c>
      <c r="J146" s="20">
        <v>10</v>
      </c>
      <c r="K146" s="22">
        <v>45321</v>
      </c>
      <c r="L146">
        <f t="shared" si="0"/>
        <v>150</v>
      </c>
    </row>
    <row r="147" spans="5:12" ht="29.4" thickBot="1">
      <c r="E147" s="20">
        <v>1020</v>
      </c>
      <c r="F147" s="21" t="s">
        <v>80</v>
      </c>
      <c r="G147" s="21" t="s">
        <v>62</v>
      </c>
      <c r="H147" s="21" t="s">
        <v>60</v>
      </c>
      <c r="I147" s="20">
        <v>18</v>
      </c>
      <c r="J147" s="20">
        <v>25</v>
      </c>
      <c r="K147" s="22">
        <v>45323</v>
      </c>
      <c r="L147">
        <f t="shared" si="0"/>
        <v>450</v>
      </c>
    </row>
    <row r="148" spans="5:12" ht="29.4" thickBot="1">
      <c r="E148" s="20">
        <v>1021</v>
      </c>
      <c r="F148" s="21" t="s">
        <v>81</v>
      </c>
      <c r="G148" s="21" t="s">
        <v>53</v>
      </c>
      <c r="H148" s="21" t="s">
        <v>54</v>
      </c>
      <c r="I148" s="20">
        <v>9</v>
      </c>
      <c r="J148" s="20">
        <v>50</v>
      </c>
      <c r="K148" s="22">
        <v>45324</v>
      </c>
      <c r="L148">
        <f t="shared" si="0"/>
        <v>450</v>
      </c>
    </row>
    <row r="149" spans="5:12" ht="29.4" thickBot="1">
      <c r="E149" s="20">
        <v>1022</v>
      </c>
      <c r="F149" s="21" t="s">
        <v>82</v>
      </c>
      <c r="G149" s="21" t="s">
        <v>56</v>
      </c>
      <c r="H149" s="21" t="s">
        <v>64</v>
      </c>
      <c r="I149" s="20">
        <v>35</v>
      </c>
      <c r="J149" s="20">
        <v>5</v>
      </c>
      <c r="K149" s="22">
        <v>45325</v>
      </c>
      <c r="L149">
        <f t="shared" si="0"/>
        <v>175</v>
      </c>
    </row>
    <row r="150" spans="5:12" ht="29.4" thickBot="1">
      <c r="E150" s="20">
        <v>1023</v>
      </c>
      <c r="F150" s="21" t="s">
        <v>83</v>
      </c>
      <c r="G150" s="21" t="s">
        <v>59</v>
      </c>
      <c r="H150" s="21" t="s">
        <v>67</v>
      </c>
      <c r="I150" s="20">
        <v>30</v>
      </c>
      <c r="J150" s="20">
        <v>8</v>
      </c>
      <c r="K150" s="22">
        <v>45326</v>
      </c>
      <c r="L150">
        <f t="shared" si="0"/>
        <v>240</v>
      </c>
    </row>
    <row r="151" spans="5:12" ht="29.4" thickBot="1">
      <c r="E151" s="20">
        <v>1024</v>
      </c>
      <c r="F151" s="21" t="s">
        <v>84</v>
      </c>
      <c r="G151" s="21" t="s">
        <v>62</v>
      </c>
      <c r="H151" s="21" t="s">
        <v>54</v>
      </c>
      <c r="I151" s="20">
        <v>11</v>
      </c>
      <c r="J151" s="20">
        <v>50</v>
      </c>
      <c r="K151" s="22">
        <v>45328</v>
      </c>
      <c r="L151">
        <f t="shared" si="0"/>
        <v>550</v>
      </c>
    </row>
    <row r="152" spans="5:12" ht="29.4" thickBot="1">
      <c r="E152" s="20">
        <v>1025</v>
      </c>
      <c r="F152" s="21" t="s">
        <v>85</v>
      </c>
      <c r="G152" s="21" t="s">
        <v>53</v>
      </c>
      <c r="H152" s="21" t="s">
        <v>57</v>
      </c>
      <c r="I152" s="20">
        <v>14</v>
      </c>
      <c r="J152" s="20">
        <v>10</v>
      </c>
      <c r="K152" s="22">
        <v>45329</v>
      </c>
      <c r="L152">
        <f t="shared" si="0"/>
        <v>140</v>
      </c>
    </row>
    <row r="153" spans="5:12" ht="29.4" thickBot="1">
      <c r="E153" s="20">
        <v>1026</v>
      </c>
      <c r="F153" s="21" t="s">
        <v>86</v>
      </c>
      <c r="G153" s="21" t="s">
        <v>56</v>
      </c>
      <c r="H153" s="21" t="s">
        <v>60</v>
      </c>
      <c r="I153" s="20">
        <v>16</v>
      </c>
      <c r="J153" s="20">
        <v>25</v>
      </c>
      <c r="K153" s="22">
        <v>45330</v>
      </c>
      <c r="L153">
        <f t="shared" si="0"/>
        <v>400</v>
      </c>
    </row>
    <row r="154" spans="5:12" ht="29.4" thickBot="1">
      <c r="E154" s="20">
        <v>1027</v>
      </c>
      <c r="F154" s="21" t="s">
        <v>87</v>
      </c>
      <c r="G154" s="21" t="s">
        <v>59</v>
      </c>
      <c r="H154" s="21" t="s">
        <v>64</v>
      </c>
      <c r="I154" s="20">
        <v>22</v>
      </c>
      <c r="J154" s="20">
        <v>5</v>
      </c>
      <c r="K154" s="22">
        <v>45331</v>
      </c>
      <c r="L154">
        <f t="shared" si="0"/>
        <v>110</v>
      </c>
    </row>
    <row r="155" spans="5:12" ht="29.4" thickBot="1">
      <c r="E155" s="20">
        <v>1028</v>
      </c>
      <c r="F155" s="21" t="s">
        <v>88</v>
      </c>
      <c r="G155" s="21" t="s">
        <v>62</v>
      </c>
      <c r="H155" s="21" t="s">
        <v>67</v>
      </c>
      <c r="I155" s="20">
        <v>27</v>
      </c>
      <c r="J155" s="20">
        <v>8</v>
      </c>
      <c r="K155" s="22">
        <v>45332</v>
      </c>
      <c r="L155">
        <f t="shared" si="0"/>
        <v>216</v>
      </c>
    </row>
    <row r="156" spans="5:12" ht="29.4" thickBot="1">
      <c r="E156" s="20">
        <v>1029</v>
      </c>
      <c r="F156" s="21" t="s">
        <v>89</v>
      </c>
      <c r="G156" s="21" t="s">
        <v>53</v>
      </c>
      <c r="H156" s="21" t="s">
        <v>54</v>
      </c>
      <c r="I156" s="20">
        <v>13</v>
      </c>
      <c r="J156" s="20">
        <v>50</v>
      </c>
      <c r="K156" s="22">
        <v>45334</v>
      </c>
      <c r="L156">
        <f t="shared" si="0"/>
        <v>650</v>
      </c>
    </row>
    <row r="157" spans="5:12" ht="29.4" thickBot="1">
      <c r="E157" s="20">
        <v>1030</v>
      </c>
      <c r="F157" s="21" t="s">
        <v>90</v>
      </c>
      <c r="G157" s="21" t="s">
        <v>56</v>
      </c>
      <c r="H157" s="21" t="s">
        <v>57</v>
      </c>
      <c r="I157" s="20">
        <v>32</v>
      </c>
      <c r="J157" s="20">
        <v>10</v>
      </c>
      <c r="K157" s="22">
        <v>45335</v>
      </c>
      <c r="L157">
        <f t="shared" si="0"/>
        <v>320</v>
      </c>
    </row>
    <row r="158" spans="5:12" ht="29.4" thickBot="1">
      <c r="E158" s="20">
        <v>1031</v>
      </c>
      <c r="F158" s="21" t="s">
        <v>91</v>
      </c>
      <c r="G158" s="21" t="s">
        <v>59</v>
      </c>
      <c r="H158" s="21" t="s">
        <v>60</v>
      </c>
      <c r="I158" s="20">
        <v>10</v>
      </c>
      <c r="J158" s="20">
        <v>25</v>
      </c>
      <c r="K158" s="22">
        <v>45336</v>
      </c>
      <c r="L158">
        <f t="shared" si="0"/>
        <v>250</v>
      </c>
    </row>
    <row r="159" spans="5:12" ht="15" thickBot="1">
      <c r="E159" s="20">
        <v>1032</v>
      </c>
      <c r="F159" s="21" t="s">
        <v>92</v>
      </c>
      <c r="G159" s="21" t="s">
        <v>62</v>
      </c>
      <c r="H159" s="21" t="s">
        <v>64</v>
      </c>
      <c r="I159" s="20">
        <v>18</v>
      </c>
      <c r="J159" s="20">
        <v>5</v>
      </c>
      <c r="K159" s="22">
        <v>45338</v>
      </c>
      <c r="L159">
        <f t="shared" si="0"/>
        <v>90</v>
      </c>
    </row>
    <row r="160" spans="5:12" ht="29.4" thickBot="1">
      <c r="E160" s="20">
        <v>1033</v>
      </c>
      <c r="F160" s="21" t="s">
        <v>93</v>
      </c>
      <c r="G160" s="21" t="s">
        <v>53</v>
      </c>
      <c r="H160" s="21" t="s">
        <v>67</v>
      </c>
      <c r="I160" s="20">
        <v>22</v>
      </c>
      <c r="J160" s="20">
        <v>8</v>
      </c>
      <c r="K160" s="22">
        <v>45339</v>
      </c>
      <c r="L160">
        <f t="shared" si="0"/>
        <v>176</v>
      </c>
    </row>
    <row r="161" spans="5:13" ht="29.4" thickBot="1">
      <c r="E161" s="20">
        <v>1034</v>
      </c>
      <c r="F161" s="21" t="s">
        <v>94</v>
      </c>
      <c r="G161" s="21" t="s">
        <v>56</v>
      </c>
      <c r="H161" s="21" t="s">
        <v>54</v>
      </c>
      <c r="I161" s="20">
        <v>17</v>
      </c>
      <c r="J161" s="20">
        <v>50</v>
      </c>
      <c r="K161" s="22">
        <v>45340</v>
      </c>
      <c r="L161">
        <f t="shared" si="0"/>
        <v>850</v>
      </c>
    </row>
    <row r="162" spans="5:13" ht="15" thickBot="1">
      <c r="E162" s="20">
        <v>1035</v>
      </c>
      <c r="F162" s="21" t="s">
        <v>95</v>
      </c>
      <c r="G162" s="21" t="s">
        <v>59</v>
      </c>
      <c r="H162" s="21" t="s">
        <v>57</v>
      </c>
      <c r="I162" s="20">
        <v>19</v>
      </c>
      <c r="J162" s="20">
        <v>10</v>
      </c>
      <c r="K162" s="22">
        <v>45341</v>
      </c>
      <c r="L162">
        <f t="shared" si="0"/>
        <v>190</v>
      </c>
    </row>
    <row r="163" spans="5:13" ht="29.4" thickBot="1">
      <c r="E163" s="20">
        <v>1036</v>
      </c>
      <c r="F163" s="21" t="s">
        <v>96</v>
      </c>
      <c r="G163" s="21" t="s">
        <v>62</v>
      </c>
      <c r="H163" s="21" t="s">
        <v>60</v>
      </c>
      <c r="I163" s="20">
        <v>15</v>
      </c>
      <c r="J163" s="20">
        <v>25</v>
      </c>
      <c r="K163" s="22">
        <v>45343</v>
      </c>
      <c r="L163">
        <f t="shared" si="0"/>
        <v>375</v>
      </c>
    </row>
    <row r="164" spans="5:13" ht="15" thickBot="1">
      <c r="E164" s="20">
        <v>1037</v>
      </c>
      <c r="F164" s="21" t="s">
        <v>97</v>
      </c>
      <c r="G164" s="21" t="s">
        <v>53</v>
      </c>
      <c r="H164" s="21" t="s">
        <v>64</v>
      </c>
      <c r="I164" s="20">
        <v>28</v>
      </c>
      <c r="J164" s="20">
        <v>5</v>
      </c>
      <c r="K164" s="22">
        <v>45344</v>
      </c>
      <c r="L164">
        <f t="shared" si="0"/>
        <v>140</v>
      </c>
    </row>
    <row r="165" spans="5:13" ht="29.4" thickBot="1">
      <c r="E165" s="20">
        <v>1038</v>
      </c>
      <c r="F165" s="21" t="s">
        <v>98</v>
      </c>
      <c r="G165" s="21" t="s">
        <v>56</v>
      </c>
      <c r="H165" s="21" t="s">
        <v>67</v>
      </c>
      <c r="I165" s="20">
        <v>24</v>
      </c>
      <c r="J165" s="20">
        <v>8</v>
      </c>
      <c r="K165" s="22">
        <v>45345</v>
      </c>
      <c r="L165">
        <f t="shared" si="0"/>
        <v>192</v>
      </c>
    </row>
    <row r="166" spans="5:13" ht="29.4" thickBot="1">
      <c r="E166" s="20">
        <v>1039</v>
      </c>
      <c r="F166" s="21" t="s">
        <v>99</v>
      </c>
      <c r="G166" s="21" t="s">
        <v>59</v>
      </c>
      <c r="H166" s="21" t="s">
        <v>54</v>
      </c>
      <c r="I166" s="20">
        <v>16</v>
      </c>
      <c r="J166" s="20">
        <v>50</v>
      </c>
      <c r="K166" s="22">
        <v>45347</v>
      </c>
      <c r="L166">
        <f t="shared" si="0"/>
        <v>800</v>
      </c>
    </row>
    <row r="167" spans="5:13" ht="29.4" thickBot="1">
      <c r="E167" s="20">
        <v>1040</v>
      </c>
      <c r="F167" s="21" t="s">
        <v>100</v>
      </c>
      <c r="G167" s="21" t="s">
        <v>62</v>
      </c>
      <c r="H167" s="21" t="s">
        <v>57</v>
      </c>
      <c r="I167" s="20">
        <v>27</v>
      </c>
      <c r="J167" s="20">
        <v>10</v>
      </c>
      <c r="K167" s="22">
        <v>45348</v>
      </c>
      <c r="L167">
        <f t="shared" si="0"/>
        <v>270</v>
      </c>
    </row>
    <row r="168" spans="5:13" ht="29.4" thickBot="1">
      <c r="E168" s="20">
        <v>1041</v>
      </c>
      <c r="F168" s="21" t="s">
        <v>101</v>
      </c>
      <c r="G168" s="21" t="s">
        <v>53</v>
      </c>
      <c r="H168" s="21" t="s">
        <v>60</v>
      </c>
      <c r="I168" s="20">
        <v>21</v>
      </c>
      <c r="J168" s="20">
        <v>25</v>
      </c>
      <c r="K168" s="22">
        <v>45349</v>
      </c>
      <c r="L168">
        <f t="shared" si="0"/>
        <v>525</v>
      </c>
    </row>
    <row r="169" spans="5:13" ht="29.4" thickBot="1">
      <c r="E169" s="20">
        <v>1042</v>
      </c>
      <c r="F169" s="21" t="s">
        <v>102</v>
      </c>
      <c r="G169" s="21" t="s">
        <v>56</v>
      </c>
      <c r="H169" s="21" t="s">
        <v>64</v>
      </c>
      <c r="I169" s="20">
        <v>30</v>
      </c>
      <c r="J169" s="20">
        <v>5</v>
      </c>
      <c r="K169" s="22">
        <v>45350</v>
      </c>
      <c r="L169">
        <f t="shared" si="0"/>
        <v>150</v>
      </c>
    </row>
    <row r="170" spans="5:13" ht="29.4" thickBot="1">
      <c r="E170" s="20">
        <v>1043</v>
      </c>
      <c r="F170" s="21" t="s">
        <v>103</v>
      </c>
      <c r="G170" s="21" t="s">
        <v>59</v>
      </c>
      <c r="H170" s="21" t="s">
        <v>67</v>
      </c>
      <c r="I170" s="20">
        <v>26</v>
      </c>
      <c r="J170" s="20">
        <v>8</v>
      </c>
      <c r="K170" s="22">
        <v>45352</v>
      </c>
      <c r="L170">
        <f t="shared" si="0"/>
        <v>208</v>
      </c>
    </row>
    <row r="171" spans="5:13" ht="29.4" thickBot="1">
      <c r="E171" s="20">
        <v>1044</v>
      </c>
      <c r="F171" s="21" t="s">
        <v>104</v>
      </c>
      <c r="G171" s="21" t="s">
        <v>62</v>
      </c>
      <c r="H171" s="21" t="s">
        <v>54</v>
      </c>
      <c r="I171" s="20">
        <v>14</v>
      </c>
      <c r="J171" s="20">
        <v>50</v>
      </c>
      <c r="K171" s="22">
        <v>45353</v>
      </c>
      <c r="L171">
        <f t="shared" si="0"/>
        <v>700</v>
      </c>
    </row>
    <row r="172" spans="5:13" ht="29.4" thickBot="1">
      <c r="E172" s="20">
        <v>1045</v>
      </c>
      <c r="F172" s="21" t="s">
        <v>105</v>
      </c>
      <c r="G172" s="21" t="s">
        <v>53</v>
      </c>
      <c r="H172" s="21" t="s">
        <v>57</v>
      </c>
      <c r="I172" s="20">
        <v>20</v>
      </c>
      <c r="J172" s="20">
        <v>10</v>
      </c>
      <c r="K172" s="22">
        <v>45354</v>
      </c>
      <c r="L172">
        <f t="shared" si="0"/>
        <v>200</v>
      </c>
    </row>
    <row r="173" spans="5:13" ht="29.4" thickBot="1">
      <c r="E173" s="20">
        <v>1046</v>
      </c>
      <c r="F173" s="21" t="s">
        <v>106</v>
      </c>
      <c r="G173" s="21" t="s">
        <v>56</v>
      </c>
      <c r="H173" s="21" t="s">
        <v>60</v>
      </c>
      <c r="I173" s="20">
        <v>17</v>
      </c>
      <c r="J173" s="20">
        <v>25</v>
      </c>
      <c r="K173" s="22">
        <v>45355</v>
      </c>
      <c r="L173">
        <f t="shared" si="0"/>
        <v>425</v>
      </c>
    </row>
    <row r="174" spans="5:13" ht="29.4" thickBot="1">
      <c r="E174" s="20">
        <v>1047</v>
      </c>
      <c r="F174" s="21" t="s">
        <v>107</v>
      </c>
      <c r="G174" s="21" t="s">
        <v>59</v>
      </c>
      <c r="H174" s="21" t="s">
        <v>64</v>
      </c>
      <c r="I174" s="20">
        <v>19</v>
      </c>
      <c r="J174" s="20">
        <v>5</v>
      </c>
      <c r="K174" s="22">
        <v>45356</v>
      </c>
      <c r="L174">
        <f t="shared" si="0"/>
        <v>95</v>
      </c>
    </row>
    <row r="175" spans="5:13" ht="29.4" thickBot="1">
      <c r="E175" s="20">
        <v>1048</v>
      </c>
      <c r="F175" s="21" t="s">
        <v>108</v>
      </c>
      <c r="G175" s="21" t="s">
        <v>62</v>
      </c>
      <c r="H175" s="21" t="s">
        <v>67</v>
      </c>
      <c r="I175" s="20">
        <v>32</v>
      </c>
      <c r="J175" s="20">
        <v>8</v>
      </c>
      <c r="K175" s="22">
        <v>45357</v>
      </c>
      <c r="L175">
        <f t="shared" si="0"/>
        <v>256</v>
      </c>
    </row>
    <row r="176" spans="5:13" ht="29.4" thickBot="1">
      <c r="E176" s="20">
        <v>1049</v>
      </c>
      <c r="F176" s="21" t="s">
        <v>109</v>
      </c>
      <c r="G176" s="21" t="s">
        <v>53</v>
      </c>
      <c r="H176" s="21" t="s">
        <v>54</v>
      </c>
      <c r="I176" s="20">
        <v>12</v>
      </c>
      <c r="J176" s="20">
        <v>50</v>
      </c>
      <c r="K176" s="22">
        <v>45358</v>
      </c>
      <c r="L176">
        <f t="shared" si="0"/>
        <v>600</v>
      </c>
      <c r="M176" s="1"/>
    </row>
    <row r="177" spans="2:12" ht="29.4" thickBot="1">
      <c r="E177" s="20">
        <v>1050</v>
      </c>
      <c r="F177" s="21" t="s">
        <v>110</v>
      </c>
      <c r="G177" s="21" t="s">
        <v>56</v>
      </c>
      <c r="H177" s="21" t="s">
        <v>57</v>
      </c>
      <c r="I177" s="20">
        <v>25</v>
      </c>
      <c r="J177" s="20">
        <v>10</v>
      </c>
      <c r="K177" s="22">
        <v>45359</v>
      </c>
      <c r="L177">
        <f t="shared" si="0"/>
        <v>250</v>
      </c>
    </row>
    <row r="178" spans="2:12">
      <c r="B178" t="s">
        <v>135</v>
      </c>
    </row>
    <row r="180" spans="2:12">
      <c r="B180" s="33" t="s">
        <v>127</v>
      </c>
      <c r="C180" s="32"/>
      <c r="D180" s="32"/>
      <c r="E180" s="32"/>
      <c r="F180" s="32"/>
      <c r="G180" s="32"/>
      <c r="H180" s="32"/>
    </row>
    <row r="181" spans="2:12" ht="18">
      <c r="I181" s="30" t="s">
        <v>116</v>
      </c>
      <c r="J181" s="29"/>
    </row>
    <row r="183" spans="2:12">
      <c r="G183" s="12" t="s">
        <v>117</v>
      </c>
      <c r="H183" s="13"/>
      <c r="I183" s="13"/>
      <c r="J183" s="13"/>
      <c r="K183" s="14">
        <f>SUMIFS(L128:L177,H128:H177,H171,G128:G177,G172)</f>
        <v>2900</v>
      </c>
    </row>
    <row r="185" spans="2:12">
      <c r="F185" s="1" t="s">
        <v>136</v>
      </c>
    </row>
    <row r="187" spans="2:12">
      <c r="B187" s="31" t="s">
        <v>128</v>
      </c>
      <c r="C187" s="32"/>
      <c r="D187" s="32"/>
      <c r="E187" s="32"/>
      <c r="F187" s="32"/>
      <c r="G187" s="32"/>
    </row>
    <row r="188" spans="2:12" ht="18">
      <c r="I188" s="30" t="s">
        <v>118</v>
      </c>
      <c r="J188" s="29"/>
    </row>
    <row r="190" spans="2:12">
      <c r="H190" s="12" t="s">
        <v>119</v>
      </c>
      <c r="I190" s="13"/>
      <c r="J190" s="13"/>
      <c r="K190" s="14"/>
    </row>
    <row r="208" spans="5:5">
      <c r="E208" s="1" t="s">
        <v>131</v>
      </c>
    </row>
    <row r="210" spans="3:11">
      <c r="C210" s="31" t="s">
        <v>129</v>
      </c>
      <c r="D210" s="32"/>
      <c r="E210" s="32"/>
      <c r="F210" s="32"/>
      <c r="G210" s="32"/>
    </row>
    <row r="211" spans="3:11" ht="18">
      <c r="I211" s="30" t="s">
        <v>120</v>
      </c>
      <c r="J211" s="29"/>
    </row>
    <row r="213" spans="3:11">
      <c r="H213" s="12" t="s">
        <v>121</v>
      </c>
      <c r="I213" s="13"/>
      <c r="J213" s="13"/>
      <c r="K213" s="14"/>
    </row>
    <row r="232" spans="4:4">
      <c r="D232" s="1" t="s">
        <v>130</v>
      </c>
    </row>
  </sheetData>
  <mergeCells count="1">
    <mergeCell ref="A5:B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Singh</dc:creator>
  <cp:lastModifiedBy>Tarun Singh</cp:lastModifiedBy>
  <cp:lastPrinted>2025-12-05T16:29:14Z</cp:lastPrinted>
  <dcterms:created xsi:type="dcterms:W3CDTF">2025-12-03T18:05:22Z</dcterms:created>
  <dcterms:modified xsi:type="dcterms:W3CDTF">2025-12-05T16:32:52Z</dcterms:modified>
</cp:coreProperties>
</file>