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un\Downloads\"/>
    </mc:Choice>
  </mc:AlternateContent>
  <xr:revisionPtr revIDLastSave="0" documentId="13_ncr:1_{04208AE1-BF90-42F4-B0D1-F2AF0FAE47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" sheetId="1" r:id="rId1"/>
    <sheet name="Manufacturing country" sheetId="2" r:id="rId2"/>
  </sheets>
  <definedNames>
    <definedName name="_xlnm._FilterDatabase" localSheetId="0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5" i="1" l="1" a="1"/>
  <c r="B75" i="1" s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55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33" i="1"/>
  <c r="I9" i="1"/>
  <c r="K9" i="1" s="1"/>
  <c r="I10" i="1"/>
  <c r="K10" i="1" s="1"/>
  <c r="I11" i="1"/>
  <c r="K11" i="1" s="1"/>
  <c r="I12" i="1"/>
  <c r="K12" i="1" s="1"/>
  <c r="I13" i="1"/>
  <c r="K13" i="1" s="1"/>
  <c r="I14" i="1"/>
  <c r="K14" i="1" s="1"/>
  <c r="I15" i="1"/>
  <c r="K15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K25" i="1" s="1"/>
  <c r="I8" i="1"/>
  <c r="K8" i="1" s="1"/>
  <c r="C75" i="1" l="1"/>
  <c r="C78" i="1"/>
  <c r="C77" i="1"/>
  <c r="C76" i="1"/>
  <c r="L24" i="1"/>
  <c r="E32" i="1" a="1"/>
  <c r="E32" i="1" s="1"/>
  <c r="L16" i="1"/>
  <c r="L21" i="1"/>
  <c r="L13" i="1"/>
  <c r="L20" i="1"/>
  <c r="L14" i="1"/>
  <c r="L19" i="1"/>
  <c r="L11" i="1"/>
  <c r="L18" i="1"/>
  <c r="L10" i="1"/>
  <c r="L25" i="1"/>
  <c r="L17" i="1"/>
  <c r="L9" i="1"/>
  <c r="L23" i="1"/>
  <c r="L22" i="1"/>
  <c r="L12" i="1"/>
  <c r="L8" i="1"/>
  <c r="L15" i="1"/>
  <c r="J24" i="1"/>
  <c r="J16" i="1"/>
  <c r="J12" i="1"/>
  <c r="J20" i="1"/>
  <c r="J19" i="1"/>
  <c r="J11" i="1"/>
  <c r="J21" i="1"/>
  <c r="J18" i="1"/>
  <c r="J10" i="1"/>
  <c r="J13" i="1"/>
  <c r="J25" i="1"/>
  <c r="J17" i="1"/>
  <c r="J9" i="1"/>
  <c r="J23" i="1"/>
  <c r="J15" i="1"/>
  <c r="J22" i="1"/>
  <c r="J14" i="1"/>
  <c r="J8" i="1"/>
  <c r="O22" i="1" l="1" a="1"/>
  <c r="O22" i="1" s="1"/>
  <c r="O11" i="1" a="1"/>
  <c r="O1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<sst xmlns="http://schemas.openxmlformats.org/spreadsheetml/2006/main" count="211" uniqueCount="84">
  <si>
    <t>You are the data analyst of a luxury car dealership. You were assigned with the following tasks:</t>
  </si>
  <si>
    <t xml:space="preserve">All rights reserved (c) </t>
  </si>
  <si>
    <t>What's the most popular car manufacturer?</t>
  </si>
  <si>
    <t>Excel-Practice-Online</t>
  </si>
  <si>
    <t>What's the most popular manufacturing country (Refer to "Manufacturing country" sheet)?</t>
  </si>
  <si>
    <t>What's the least popular color for cars?</t>
  </si>
  <si>
    <t>What's the average price per owner?</t>
  </si>
  <si>
    <t>Car</t>
  </si>
  <si>
    <t>Year</t>
  </si>
  <si>
    <t>KM Driven</t>
  </si>
  <si>
    <t>Color</t>
  </si>
  <si>
    <t>Transimission</t>
  </si>
  <si>
    <t>Owner</t>
  </si>
  <si>
    <t>Price (USD)</t>
  </si>
  <si>
    <t>BMW X5</t>
  </si>
  <si>
    <t>White</t>
  </si>
  <si>
    <t>Automatic</t>
  </si>
  <si>
    <t>1st owner</t>
  </si>
  <si>
    <t>$15400</t>
  </si>
  <si>
    <t>Audi A3</t>
  </si>
  <si>
    <t>Red</t>
  </si>
  <si>
    <t>Manual</t>
  </si>
  <si>
    <t>2nd owner</t>
  </si>
  <si>
    <t>$24321</t>
  </si>
  <si>
    <t>Mercedes S-Class</t>
  </si>
  <si>
    <t>Black</t>
  </si>
  <si>
    <t>3rd owner</t>
  </si>
  <si>
    <t>$102342</t>
  </si>
  <si>
    <t>$55272</t>
  </si>
  <si>
    <t>BMW X3</t>
  </si>
  <si>
    <t>$42000</t>
  </si>
  <si>
    <t>Lexus RX350</t>
  </si>
  <si>
    <t>$51292</t>
  </si>
  <si>
    <t>Blue</t>
  </si>
  <si>
    <t>$37605</t>
  </si>
  <si>
    <t xml:space="preserve">Blue </t>
  </si>
  <si>
    <t>$45000</t>
  </si>
  <si>
    <t>BMW 3 Series</t>
  </si>
  <si>
    <t>$13241</t>
  </si>
  <si>
    <t>$49344</t>
  </si>
  <si>
    <t>Tesla Model 3</t>
  </si>
  <si>
    <t>Yellow</t>
  </si>
  <si>
    <t>$52432</t>
  </si>
  <si>
    <t>Volvo XC90</t>
  </si>
  <si>
    <t xml:space="preserve"> Black</t>
  </si>
  <si>
    <t>$17452</t>
  </si>
  <si>
    <t>Audi Q7</t>
  </si>
  <si>
    <t>$23250</t>
  </si>
  <si>
    <t>Cadillac XT5</t>
  </si>
  <si>
    <t>$32420</t>
  </si>
  <si>
    <t>Jaguar XF</t>
  </si>
  <si>
    <t>$18454</t>
  </si>
  <si>
    <t>$41000</t>
  </si>
  <si>
    <t>BMW 428i</t>
  </si>
  <si>
    <t>$35240</t>
  </si>
  <si>
    <t>4th owner</t>
  </si>
  <si>
    <t>$22520</t>
  </si>
  <si>
    <t>Company</t>
  </si>
  <si>
    <t>Country</t>
  </si>
  <si>
    <t>BMW</t>
  </si>
  <si>
    <t>Germany</t>
  </si>
  <si>
    <t>Audi</t>
  </si>
  <si>
    <t>Tesla</t>
  </si>
  <si>
    <t>USA</t>
  </si>
  <si>
    <t>Jaguar</t>
  </si>
  <si>
    <t>UK</t>
  </si>
  <si>
    <t>Mercedes</t>
  </si>
  <si>
    <t>Volvo</t>
  </si>
  <si>
    <t>Sweden</t>
  </si>
  <si>
    <t>Cadillac</t>
  </si>
  <si>
    <t>Lexus</t>
  </si>
  <si>
    <t>Japan</t>
  </si>
  <si>
    <t>Manufacturer</t>
  </si>
  <si>
    <t>Count</t>
  </si>
  <si>
    <t>COUNT</t>
  </si>
  <si>
    <t>Manufacturer Country</t>
  </si>
  <si>
    <t>Germany is the most popular maufacturing country.</t>
  </si>
  <si>
    <t>BMW is the most popular manufacturing car</t>
  </si>
  <si>
    <t>Least popular color for car is Yellow</t>
  </si>
  <si>
    <t>Average</t>
  </si>
  <si>
    <t>Ans-1</t>
  </si>
  <si>
    <t>Ans-2</t>
  </si>
  <si>
    <t>Ans-3</t>
  </si>
  <si>
    <t>Ans-4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</si>
</sst>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0" fillId="2" borderId="0" xfId="0" applyFill="1"/>
    <xf numFmtId="0" fontId="1" fillId="0" borderId="0" xfId="1"/>
    <xf numFmtId="0" fontId="0" fillId="2" borderId="1" xfId="0" applyFill="1" applyBorder="1"/>
    <xf numFmtId="0" fontId="0" fillId="3" borderId="1" xfId="0" applyFill="1" applyBorder="1"/>
    <xf numFmtId="0" fontId="0" fillId="4" borderId="0" xfId="0" applyFill="1"/>
    <xf numFmtId="0" fontId="3" fillId="4" borderId="0" xfId="0" applyFont="1" applyFill="1"/>
    <xf numFmtId="0" fontId="0" fillId="0" borderId="0" xfId="0" applyFill="1" applyBorder="1"/>
    <xf numFmtId="0" fontId="3" fillId="5" borderId="0" xfId="0" applyFont="1" applyFill="1"/>
    <xf numFmtId="0" fontId="4" fillId="0" borderId="0" xfId="0" applyFont="1"/>
    <xf numFmtId="0" fontId="2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xcel-practice-onlin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8"/>
  <sheetViews>
    <sheetView tabSelected="1" topLeftCell="A55" workbookViewId="0">
      <selection activeCell="G75" sqref="G75"/>
    </sheetView>
  </sheetViews>
  <sheetFormatPr defaultRowHeight="14.4" x14ac:dyDescent="0.3"/>
  <cols>
    <col min="1" max="1" width="3.88671875" customWidth="1"/>
    <col min="2" max="2" width="16.44140625" bestFit="1" customWidth="1"/>
    <col min="3" max="3" width="10.33203125" customWidth="1"/>
    <col min="4" max="4" width="12.5546875" customWidth="1"/>
    <col min="5" max="5" width="10.33203125" customWidth="1"/>
    <col min="6" max="6" width="13" bestFit="1" customWidth="1"/>
    <col min="7" max="7" width="10.5546875" bestFit="1" customWidth="1"/>
    <col min="8" max="8" width="15" customWidth="1"/>
    <col min="9" max="9" width="12.6640625" bestFit="1" customWidth="1"/>
    <col min="11" max="11" width="19.6640625" customWidth="1"/>
  </cols>
  <sheetData>
    <row r="1" spans="1:16" x14ac:dyDescent="0.3">
      <c r="B1" s="1" t="s">
        <v>0</v>
      </c>
      <c r="K1" t="s">
        <v>1</v>
      </c>
      <c r="O1" s="1" t="s">
        <v>57</v>
      </c>
      <c r="P1" s="1" t="s">
        <v>58</v>
      </c>
    </row>
    <row r="2" spans="1:16" x14ac:dyDescent="0.3">
      <c r="A2">
        <v>1</v>
      </c>
      <c r="B2" t="s">
        <v>2</v>
      </c>
      <c r="K2" s="3" t="s">
        <v>3</v>
      </c>
      <c r="O2" t="s">
        <v>59</v>
      </c>
      <c r="P2" t="s">
        <v>60</v>
      </c>
    </row>
    <row r="3" spans="1:16" x14ac:dyDescent="0.3">
      <c r="A3">
        <v>2</v>
      </c>
      <c r="B3" t="s">
        <v>4</v>
      </c>
      <c r="O3" t="s">
        <v>61</v>
      </c>
      <c r="P3" t="s">
        <v>60</v>
      </c>
    </row>
    <row r="4" spans="1:16" x14ac:dyDescent="0.3">
      <c r="A4">
        <v>3</v>
      </c>
      <c r="B4" t="s">
        <v>5</v>
      </c>
      <c r="O4" t="s">
        <v>62</v>
      </c>
      <c r="P4" t="s">
        <v>63</v>
      </c>
    </row>
    <row r="5" spans="1:16" x14ac:dyDescent="0.3">
      <c r="A5">
        <v>4</v>
      </c>
      <c r="B5" t="s">
        <v>6</v>
      </c>
      <c r="O5" t="s">
        <v>64</v>
      </c>
      <c r="P5" t="s">
        <v>65</v>
      </c>
    </row>
    <row r="6" spans="1:16" x14ac:dyDescent="0.3">
      <c r="O6" t="s">
        <v>66</v>
      </c>
      <c r="P6" t="s">
        <v>60</v>
      </c>
    </row>
    <row r="7" spans="1:16" x14ac:dyDescent="0.3"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72</v>
      </c>
      <c r="J7" s="1" t="s">
        <v>74</v>
      </c>
      <c r="K7" s="1" t="s">
        <v>75</v>
      </c>
      <c r="L7" s="1" t="s">
        <v>73</v>
      </c>
      <c r="O7" t="s">
        <v>67</v>
      </c>
      <c r="P7" t="s">
        <v>68</v>
      </c>
    </row>
    <row r="8" spans="1:16" x14ac:dyDescent="0.3">
      <c r="B8" t="s">
        <v>14</v>
      </c>
      <c r="C8">
        <v>2012</v>
      </c>
      <c r="D8">
        <v>342358</v>
      </c>
      <c r="E8" t="s">
        <v>15</v>
      </c>
      <c r="F8" t="s">
        <v>16</v>
      </c>
      <c r="G8" t="s">
        <v>17</v>
      </c>
      <c r="H8" t="s">
        <v>18</v>
      </c>
      <c r="I8" s="2" t="str">
        <f>LEFT($B8,FIND(" ",$B8)-1)</f>
        <v>BMW</v>
      </c>
      <c r="J8">
        <f>COUNTIF($I$8:$I$25,$I8)</f>
        <v>7</v>
      </c>
      <c r="K8" t="str">
        <f>VLOOKUP($I8,$O$2:$P$9,2,)</f>
        <v>Germany</v>
      </c>
      <c r="L8">
        <f>COUNTIF($K$8:$K$25,K8)</f>
        <v>11</v>
      </c>
      <c r="O8" t="s">
        <v>69</v>
      </c>
      <c r="P8" t="s">
        <v>63</v>
      </c>
    </row>
    <row r="9" spans="1:16" x14ac:dyDescent="0.3">
      <c r="B9" t="s">
        <v>19</v>
      </c>
      <c r="C9">
        <v>2017</v>
      </c>
      <c r="D9">
        <v>130000</v>
      </c>
      <c r="E9" t="s">
        <v>20</v>
      </c>
      <c r="F9" t="s">
        <v>21</v>
      </c>
      <c r="G9" t="s">
        <v>22</v>
      </c>
      <c r="H9" t="s">
        <v>23</v>
      </c>
      <c r="I9" s="2" t="str">
        <f t="shared" ref="I9:I25" si="0">LEFT($B9,FIND(" ",$B9)-1)</f>
        <v>Audi</v>
      </c>
      <c r="J9">
        <f t="shared" ref="J9:J25" si="1">COUNTIF($I$8:$I$25,$I9)</f>
        <v>2</v>
      </c>
      <c r="K9" t="str">
        <f t="shared" ref="K9:K25" si="2">VLOOKUP($I9,$O$2:$P$9,2,)</f>
        <v>Germany</v>
      </c>
      <c r="L9">
        <f t="shared" ref="L9:L25" si="3">COUNTIF($K$8:$K$25,K9)</f>
        <v>11</v>
      </c>
      <c r="O9" t="s">
        <v>70</v>
      </c>
      <c r="P9" t="s">
        <v>71</v>
      </c>
    </row>
    <row r="10" spans="1:16" x14ac:dyDescent="0.3">
      <c r="B10" t="s">
        <v>24</v>
      </c>
      <c r="C10">
        <v>2020</v>
      </c>
      <c r="D10">
        <v>92450</v>
      </c>
      <c r="E10" t="s">
        <v>25</v>
      </c>
      <c r="F10" t="s">
        <v>16</v>
      </c>
      <c r="G10" t="s">
        <v>26</v>
      </c>
      <c r="H10" t="s">
        <v>27</v>
      </c>
      <c r="I10" s="2" t="str">
        <f t="shared" si="0"/>
        <v>Mercedes</v>
      </c>
      <c r="J10">
        <f t="shared" si="1"/>
        <v>2</v>
      </c>
      <c r="K10" t="str">
        <f t="shared" si="2"/>
        <v>Germany</v>
      </c>
      <c r="L10">
        <f t="shared" si="3"/>
        <v>11</v>
      </c>
    </row>
    <row r="11" spans="1:16" ht="18" x14ac:dyDescent="0.35">
      <c r="B11" t="s">
        <v>14</v>
      </c>
      <c r="C11">
        <v>2020</v>
      </c>
      <c r="D11">
        <v>76240</v>
      </c>
      <c r="E11" t="s">
        <v>15</v>
      </c>
      <c r="F11" t="s">
        <v>16</v>
      </c>
      <c r="G11" t="s">
        <v>22</v>
      </c>
      <c r="H11" t="s">
        <v>28</v>
      </c>
      <c r="I11" s="2" t="str">
        <f t="shared" si="0"/>
        <v>BMW</v>
      </c>
      <c r="J11">
        <f t="shared" si="1"/>
        <v>7</v>
      </c>
      <c r="K11" t="str">
        <f t="shared" si="2"/>
        <v>Germany</v>
      </c>
      <c r="L11">
        <f t="shared" si="3"/>
        <v>11</v>
      </c>
      <c r="N11" s="10" t="s">
        <v>80</v>
      </c>
      <c r="O11" s="4" t="str" cm="1">
        <f t="array" ref="O11:P18">_xlfn.UNIQUE(I8:J25)</f>
        <v>BMW</v>
      </c>
      <c r="P11" s="4">
        <v>7</v>
      </c>
    </row>
    <row r="12" spans="1:16" x14ac:dyDescent="0.3">
      <c r="B12" t="s">
        <v>29</v>
      </c>
      <c r="C12">
        <v>2021</v>
      </c>
      <c r="D12">
        <v>17283</v>
      </c>
      <c r="E12" t="s">
        <v>15</v>
      </c>
      <c r="F12" t="s">
        <v>21</v>
      </c>
      <c r="G12" t="s">
        <v>17</v>
      </c>
      <c r="H12" t="s">
        <v>30</v>
      </c>
      <c r="I12" s="2" t="str">
        <f t="shared" si="0"/>
        <v>BMW</v>
      </c>
      <c r="J12">
        <f t="shared" si="1"/>
        <v>7</v>
      </c>
      <c r="K12" t="str">
        <f t="shared" si="2"/>
        <v>Germany</v>
      </c>
      <c r="L12">
        <f t="shared" si="3"/>
        <v>11</v>
      </c>
      <c r="O12" s="4" t="str">
        <v>Audi</v>
      </c>
      <c r="P12" s="4">
        <v>2</v>
      </c>
    </row>
    <row r="13" spans="1:16" x14ac:dyDescent="0.3">
      <c r="B13" t="s">
        <v>31</v>
      </c>
      <c r="C13">
        <v>2020</v>
      </c>
      <c r="D13">
        <v>98312</v>
      </c>
      <c r="E13" t="s">
        <v>20</v>
      </c>
      <c r="F13" t="s">
        <v>16</v>
      </c>
      <c r="G13" t="s">
        <v>26</v>
      </c>
      <c r="H13" t="s">
        <v>32</v>
      </c>
      <c r="I13" s="2" t="str">
        <f t="shared" si="0"/>
        <v>Lexus</v>
      </c>
      <c r="J13">
        <f t="shared" si="1"/>
        <v>3</v>
      </c>
      <c r="K13" t="str">
        <f t="shared" si="2"/>
        <v>Japan</v>
      </c>
      <c r="L13">
        <f t="shared" si="3"/>
        <v>3</v>
      </c>
      <c r="O13" s="4" t="str">
        <v>Mercedes</v>
      </c>
      <c r="P13" s="4">
        <v>2</v>
      </c>
    </row>
    <row r="14" spans="1:16" x14ac:dyDescent="0.3">
      <c r="B14" t="s">
        <v>29</v>
      </c>
      <c r="C14">
        <v>2018</v>
      </c>
      <c r="D14">
        <v>156784</v>
      </c>
      <c r="E14" t="s">
        <v>33</v>
      </c>
      <c r="F14" t="s">
        <v>21</v>
      </c>
      <c r="G14" t="s">
        <v>26</v>
      </c>
      <c r="H14" t="s">
        <v>34</v>
      </c>
      <c r="I14" s="2" t="str">
        <f t="shared" si="0"/>
        <v>BMW</v>
      </c>
      <c r="J14">
        <f t="shared" si="1"/>
        <v>7</v>
      </c>
      <c r="K14" t="str">
        <f t="shared" si="2"/>
        <v>Germany</v>
      </c>
      <c r="L14">
        <f t="shared" si="3"/>
        <v>11</v>
      </c>
      <c r="O14" s="4" t="str">
        <v>Lexus</v>
      </c>
      <c r="P14" s="4">
        <v>3</v>
      </c>
    </row>
    <row r="15" spans="1:16" x14ac:dyDescent="0.3">
      <c r="B15" t="s">
        <v>14</v>
      </c>
      <c r="C15">
        <v>2019</v>
      </c>
      <c r="D15">
        <v>52034</v>
      </c>
      <c r="E15" t="s">
        <v>35</v>
      </c>
      <c r="F15" t="s">
        <v>16</v>
      </c>
      <c r="G15" t="s">
        <v>17</v>
      </c>
      <c r="H15" t="s">
        <v>36</v>
      </c>
      <c r="I15" s="2" t="str">
        <f t="shared" si="0"/>
        <v>BMW</v>
      </c>
      <c r="J15">
        <f t="shared" si="1"/>
        <v>7</v>
      </c>
      <c r="K15" t="str">
        <f t="shared" si="2"/>
        <v>Germany</v>
      </c>
      <c r="L15">
        <f t="shared" si="3"/>
        <v>11</v>
      </c>
      <c r="O15" s="4" t="str">
        <v>Tesla</v>
      </c>
      <c r="P15" s="4">
        <v>1</v>
      </c>
    </row>
    <row r="16" spans="1:16" x14ac:dyDescent="0.3">
      <c r="B16" t="s">
        <v>37</v>
      </c>
      <c r="C16">
        <v>2011</v>
      </c>
      <c r="D16">
        <v>205204</v>
      </c>
      <c r="E16" t="s">
        <v>20</v>
      </c>
      <c r="F16" t="s">
        <v>16</v>
      </c>
      <c r="G16" t="s">
        <v>22</v>
      </c>
      <c r="H16" t="s">
        <v>38</v>
      </c>
      <c r="I16" s="2" t="str">
        <f t="shared" si="0"/>
        <v>BMW</v>
      </c>
      <c r="J16">
        <f t="shared" si="1"/>
        <v>7</v>
      </c>
      <c r="K16" t="str">
        <f t="shared" si="2"/>
        <v>Germany</v>
      </c>
      <c r="L16">
        <f t="shared" si="3"/>
        <v>11</v>
      </c>
      <c r="O16" s="4" t="str">
        <v>Volvo</v>
      </c>
      <c r="P16" s="4">
        <v>1</v>
      </c>
    </row>
    <row r="17" spans="2:19" x14ac:dyDescent="0.3">
      <c r="B17" t="s">
        <v>24</v>
      </c>
      <c r="C17">
        <v>2014</v>
      </c>
      <c r="D17">
        <v>152985</v>
      </c>
      <c r="E17" t="s">
        <v>25</v>
      </c>
      <c r="F17" t="s">
        <v>16</v>
      </c>
      <c r="G17" t="s">
        <v>22</v>
      </c>
      <c r="H17" t="s">
        <v>39</v>
      </c>
      <c r="I17" s="2" t="str">
        <f t="shared" si="0"/>
        <v>Mercedes</v>
      </c>
      <c r="J17">
        <f t="shared" si="1"/>
        <v>2</v>
      </c>
      <c r="K17" t="str">
        <f t="shared" si="2"/>
        <v>Germany</v>
      </c>
      <c r="L17">
        <f t="shared" si="3"/>
        <v>11</v>
      </c>
      <c r="O17" s="4" t="str">
        <v>Cadillac</v>
      </c>
      <c r="P17" s="4">
        <v>1</v>
      </c>
    </row>
    <row r="18" spans="2:19" x14ac:dyDescent="0.3">
      <c r="B18" t="s">
        <v>40</v>
      </c>
      <c r="C18">
        <v>2018</v>
      </c>
      <c r="D18">
        <v>76429</v>
      </c>
      <c r="E18" t="s">
        <v>41</v>
      </c>
      <c r="F18" t="s">
        <v>16</v>
      </c>
      <c r="G18" t="s">
        <v>17</v>
      </c>
      <c r="H18" t="s">
        <v>42</v>
      </c>
      <c r="I18" s="2" t="str">
        <f t="shared" si="0"/>
        <v>Tesla</v>
      </c>
      <c r="J18">
        <f t="shared" si="1"/>
        <v>1</v>
      </c>
      <c r="K18" t="str">
        <f t="shared" si="2"/>
        <v>USA</v>
      </c>
      <c r="L18">
        <f t="shared" si="3"/>
        <v>2</v>
      </c>
      <c r="O18" s="4" t="str">
        <v>Jaguar</v>
      </c>
      <c r="P18" s="4">
        <v>1</v>
      </c>
    </row>
    <row r="19" spans="2:19" x14ac:dyDescent="0.3">
      <c r="B19" t="s">
        <v>43</v>
      </c>
      <c r="C19">
        <v>2013</v>
      </c>
      <c r="D19">
        <v>254028</v>
      </c>
      <c r="E19" t="s">
        <v>44</v>
      </c>
      <c r="F19" t="s">
        <v>21</v>
      </c>
      <c r="G19" t="s">
        <v>22</v>
      </c>
      <c r="H19" t="s">
        <v>45</v>
      </c>
      <c r="I19" s="2" t="str">
        <f t="shared" si="0"/>
        <v>Volvo</v>
      </c>
      <c r="J19">
        <f t="shared" si="1"/>
        <v>1</v>
      </c>
      <c r="K19" t="str">
        <f t="shared" si="2"/>
        <v>Sweden</v>
      </c>
      <c r="L19">
        <f t="shared" si="3"/>
        <v>1</v>
      </c>
    </row>
    <row r="20" spans="2:19" ht="15.6" x14ac:dyDescent="0.3">
      <c r="B20" t="s">
        <v>46</v>
      </c>
      <c r="C20">
        <v>2014</v>
      </c>
      <c r="D20">
        <v>45832</v>
      </c>
      <c r="E20" t="s">
        <v>15</v>
      </c>
      <c r="F20" t="s">
        <v>21</v>
      </c>
      <c r="G20" t="s">
        <v>17</v>
      </c>
      <c r="H20" t="s">
        <v>47</v>
      </c>
      <c r="I20" s="2" t="str">
        <f t="shared" si="0"/>
        <v>Audi</v>
      </c>
      <c r="J20">
        <f t="shared" si="1"/>
        <v>2</v>
      </c>
      <c r="K20" t="str">
        <f t="shared" si="2"/>
        <v>Germany</v>
      </c>
      <c r="L20">
        <f t="shared" si="3"/>
        <v>11</v>
      </c>
      <c r="N20" s="7" t="s">
        <v>77</v>
      </c>
      <c r="O20" s="7"/>
      <c r="P20" s="7"/>
      <c r="Q20" s="7"/>
      <c r="R20" s="7"/>
    </row>
    <row r="21" spans="2:19" x14ac:dyDescent="0.3">
      <c r="B21" t="s">
        <v>48</v>
      </c>
      <c r="C21">
        <v>2018</v>
      </c>
      <c r="D21">
        <v>67591</v>
      </c>
      <c r="E21" t="s">
        <v>33</v>
      </c>
      <c r="F21" t="s">
        <v>16</v>
      </c>
      <c r="G21" t="s">
        <v>22</v>
      </c>
      <c r="H21" t="s">
        <v>49</v>
      </c>
      <c r="I21" s="2" t="str">
        <f t="shared" si="0"/>
        <v>Cadillac</v>
      </c>
      <c r="J21">
        <f t="shared" si="1"/>
        <v>1</v>
      </c>
      <c r="K21" t="str">
        <f t="shared" si="2"/>
        <v>USA</v>
      </c>
      <c r="L21">
        <f t="shared" si="3"/>
        <v>2</v>
      </c>
    </row>
    <row r="22" spans="2:19" ht="18" x14ac:dyDescent="0.35">
      <c r="B22" t="s">
        <v>50</v>
      </c>
      <c r="C22">
        <v>2013</v>
      </c>
      <c r="D22">
        <v>85320</v>
      </c>
      <c r="E22" t="s">
        <v>15</v>
      </c>
      <c r="F22" t="s">
        <v>16</v>
      </c>
      <c r="G22" t="s">
        <v>22</v>
      </c>
      <c r="H22" t="s">
        <v>51</v>
      </c>
      <c r="I22" s="2" t="str">
        <f t="shared" si="0"/>
        <v>Jaguar</v>
      </c>
      <c r="J22">
        <f t="shared" si="1"/>
        <v>1</v>
      </c>
      <c r="K22" t="str">
        <f t="shared" si="2"/>
        <v>UK</v>
      </c>
      <c r="L22">
        <f t="shared" si="3"/>
        <v>1</v>
      </c>
      <c r="N22" s="10" t="s">
        <v>81</v>
      </c>
      <c r="O22" s="5" t="str" cm="1">
        <f t="array" ref="O22:P26">_xlfn.UNIQUE(K8:L25)</f>
        <v>Germany</v>
      </c>
      <c r="P22" s="5">
        <v>11</v>
      </c>
    </row>
    <row r="23" spans="2:19" x14ac:dyDescent="0.3">
      <c r="B23" t="s">
        <v>31</v>
      </c>
      <c r="C23">
        <v>2016</v>
      </c>
      <c r="D23">
        <v>5000</v>
      </c>
      <c r="E23" t="s">
        <v>15</v>
      </c>
      <c r="F23" t="s">
        <v>16</v>
      </c>
      <c r="G23" t="s">
        <v>17</v>
      </c>
      <c r="H23" t="s">
        <v>52</v>
      </c>
      <c r="I23" s="2" t="str">
        <f t="shared" si="0"/>
        <v>Lexus</v>
      </c>
      <c r="J23">
        <f t="shared" si="1"/>
        <v>3</v>
      </c>
      <c r="K23" t="str">
        <f t="shared" si="2"/>
        <v>Japan</v>
      </c>
      <c r="L23">
        <f t="shared" si="3"/>
        <v>3</v>
      </c>
      <c r="O23" s="5" t="str">
        <v>Japan</v>
      </c>
      <c r="P23" s="5">
        <v>3</v>
      </c>
    </row>
    <row r="24" spans="2:19" x14ac:dyDescent="0.3">
      <c r="B24" t="s">
        <v>53</v>
      </c>
      <c r="C24">
        <v>2017</v>
      </c>
      <c r="D24">
        <v>92450</v>
      </c>
      <c r="E24" t="s">
        <v>20</v>
      </c>
      <c r="F24" t="s">
        <v>21</v>
      </c>
      <c r="G24" t="s">
        <v>22</v>
      </c>
      <c r="H24" t="s">
        <v>54</v>
      </c>
      <c r="I24" s="2" t="str">
        <f t="shared" si="0"/>
        <v>BMW</v>
      </c>
      <c r="J24">
        <f t="shared" si="1"/>
        <v>7</v>
      </c>
      <c r="K24" t="str">
        <f t="shared" si="2"/>
        <v>Germany</v>
      </c>
      <c r="L24">
        <f t="shared" si="3"/>
        <v>11</v>
      </c>
      <c r="O24" s="5" t="str">
        <v>USA</v>
      </c>
      <c r="P24" s="5">
        <v>2</v>
      </c>
    </row>
    <row r="25" spans="2:19" x14ac:dyDescent="0.3">
      <c r="B25" t="s">
        <v>31</v>
      </c>
      <c r="C25">
        <v>2015</v>
      </c>
      <c r="D25">
        <v>130000</v>
      </c>
      <c r="E25" t="s">
        <v>25</v>
      </c>
      <c r="F25" t="s">
        <v>16</v>
      </c>
      <c r="G25" t="s">
        <v>55</v>
      </c>
      <c r="H25" t="s">
        <v>56</v>
      </c>
      <c r="I25" s="2" t="str">
        <f t="shared" si="0"/>
        <v>Lexus</v>
      </c>
      <c r="J25">
        <f t="shared" si="1"/>
        <v>3</v>
      </c>
      <c r="K25" t="str">
        <f t="shared" si="2"/>
        <v>Japan</v>
      </c>
      <c r="L25">
        <f t="shared" si="3"/>
        <v>3</v>
      </c>
      <c r="O25" s="5" t="str">
        <v>Sweden</v>
      </c>
      <c r="P25" s="5">
        <v>1</v>
      </c>
    </row>
    <row r="26" spans="2:19" x14ac:dyDescent="0.3">
      <c r="O26" s="5" t="str">
        <v>UK</v>
      </c>
      <c r="P26" s="5">
        <v>1</v>
      </c>
    </row>
    <row r="28" spans="2:19" ht="15.6" x14ac:dyDescent="0.3">
      <c r="N28" s="7" t="s">
        <v>76</v>
      </c>
      <c r="O28" s="7"/>
      <c r="P28" s="7"/>
      <c r="Q28" s="7"/>
      <c r="R28" s="7"/>
      <c r="S28" s="6"/>
    </row>
    <row r="30" spans="2:19" ht="18" x14ac:dyDescent="0.35">
      <c r="B30" s="10" t="s">
        <v>82</v>
      </c>
    </row>
    <row r="32" spans="2:19" x14ac:dyDescent="0.3">
      <c r="B32" t="s">
        <v>10</v>
      </c>
      <c r="C32" t="s">
        <v>73</v>
      </c>
      <c r="E32" s="4" t="str" cm="1">
        <f t="array" ref="E32:F37">_xlfn.UNIQUE(B32:C50)</f>
        <v>Color</v>
      </c>
      <c r="F32" s="4" t="str">
        <v>Count</v>
      </c>
    </row>
    <row r="33" spans="2:7" x14ac:dyDescent="0.3">
      <c r="B33" t="s">
        <v>15</v>
      </c>
      <c r="C33">
        <f>COUNTIF($B$33:$B$50,$B33)</f>
        <v>6</v>
      </c>
      <c r="E33" s="4" t="str">
        <v>White</v>
      </c>
      <c r="F33" s="4">
        <v>6</v>
      </c>
    </row>
    <row r="34" spans="2:7" x14ac:dyDescent="0.3">
      <c r="B34" t="s">
        <v>20</v>
      </c>
      <c r="C34">
        <f t="shared" ref="C34:C50" si="4">COUNTIF($B$33:$B$50,$B34)</f>
        <v>4</v>
      </c>
      <c r="E34" s="4" t="str">
        <v>Red</v>
      </c>
      <c r="F34" s="4">
        <v>4</v>
      </c>
    </row>
    <row r="35" spans="2:7" x14ac:dyDescent="0.3">
      <c r="B35" t="s">
        <v>25</v>
      </c>
      <c r="C35">
        <f t="shared" si="4"/>
        <v>4</v>
      </c>
      <c r="E35" s="4" t="str">
        <v>Black</v>
      </c>
      <c r="F35" s="4">
        <v>4</v>
      </c>
    </row>
    <row r="36" spans="2:7" x14ac:dyDescent="0.3">
      <c r="B36" t="s">
        <v>15</v>
      </c>
      <c r="C36">
        <f t="shared" si="4"/>
        <v>6</v>
      </c>
      <c r="E36" s="4" t="str">
        <v>Blue</v>
      </c>
      <c r="F36" s="4">
        <v>3</v>
      </c>
    </row>
    <row r="37" spans="2:7" x14ac:dyDescent="0.3">
      <c r="B37" t="s">
        <v>15</v>
      </c>
      <c r="C37">
        <f t="shared" si="4"/>
        <v>6</v>
      </c>
      <c r="E37" s="4" t="str">
        <v>Yellow</v>
      </c>
      <c r="F37" s="4">
        <v>1</v>
      </c>
    </row>
    <row r="38" spans="2:7" x14ac:dyDescent="0.3">
      <c r="B38" t="s">
        <v>20</v>
      </c>
      <c r="C38">
        <f t="shared" si="4"/>
        <v>4</v>
      </c>
      <c r="E38" s="8"/>
      <c r="F38" s="8"/>
    </row>
    <row r="39" spans="2:7" x14ac:dyDescent="0.3">
      <c r="B39" t="s">
        <v>33</v>
      </c>
      <c r="C39">
        <f t="shared" si="4"/>
        <v>3</v>
      </c>
      <c r="E39" s="8"/>
      <c r="F39" s="8"/>
    </row>
    <row r="40" spans="2:7" x14ac:dyDescent="0.3">
      <c r="B40" t="s">
        <v>33</v>
      </c>
      <c r="C40">
        <f t="shared" si="4"/>
        <v>3</v>
      </c>
    </row>
    <row r="41" spans="2:7" ht="15.6" x14ac:dyDescent="0.3">
      <c r="B41" t="s">
        <v>20</v>
      </c>
      <c r="C41">
        <f t="shared" si="4"/>
        <v>4</v>
      </c>
      <c r="E41" s="9" t="s">
        <v>78</v>
      </c>
      <c r="F41" s="9"/>
      <c r="G41" s="9"/>
    </row>
    <row r="42" spans="2:7" x14ac:dyDescent="0.3">
      <c r="B42" t="s">
        <v>25</v>
      </c>
      <c r="C42">
        <f t="shared" si="4"/>
        <v>4</v>
      </c>
    </row>
    <row r="43" spans="2:7" x14ac:dyDescent="0.3">
      <c r="B43" t="s">
        <v>41</v>
      </c>
      <c r="C43">
        <f t="shared" si="4"/>
        <v>1</v>
      </c>
    </row>
    <row r="44" spans="2:7" x14ac:dyDescent="0.3">
      <c r="B44" t="s">
        <v>25</v>
      </c>
      <c r="C44">
        <f t="shared" si="4"/>
        <v>4</v>
      </c>
    </row>
    <row r="45" spans="2:7" x14ac:dyDescent="0.3">
      <c r="B45" t="s">
        <v>15</v>
      </c>
      <c r="C45">
        <f t="shared" si="4"/>
        <v>6</v>
      </c>
    </row>
    <row r="46" spans="2:7" x14ac:dyDescent="0.3">
      <c r="B46" t="s">
        <v>33</v>
      </c>
      <c r="C46">
        <f t="shared" si="4"/>
        <v>3</v>
      </c>
    </row>
    <row r="47" spans="2:7" x14ac:dyDescent="0.3">
      <c r="B47" t="s">
        <v>15</v>
      </c>
      <c r="C47">
        <f t="shared" si="4"/>
        <v>6</v>
      </c>
    </row>
    <row r="48" spans="2:7" x14ac:dyDescent="0.3">
      <c r="B48" t="s">
        <v>15</v>
      </c>
      <c r="C48">
        <f t="shared" si="4"/>
        <v>6</v>
      </c>
    </row>
    <row r="49" spans="2:4" x14ac:dyDescent="0.3">
      <c r="B49" t="s">
        <v>20</v>
      </c>
      <c r="C49">
        <f t="shared" si="4"/>
        <v>4</v>
      </c>
    </row>
    <row r="50" spans="2:4" x14ac:dyDescent="0.3">
      <c r="B50" t="s">
        <v>25</v>
      </c>
      <c r="C50">
        <f t="shared" si="4"/>
        <v>4</v>
      </c>
    </row>
    <row r="52" spans="2:4" ht="18" x14ac:dyDescent="0.35">
      <c r="B52" s="10" t="s">
        <v>83</v>
      </c>
    </row>
    <row r="54" spans="2:4" x14ac:dyDescent="0.3">
      <c r="B54" s="1" t="s">
        <v>12</v>
      </c>
      <c r="C54" s="1" t="s">
        <v>13</v>
      </c>
    </row>
    <row r="55" spans="2:4" x14ac:dyDescent="0.3">
      <c r="B55" t="s">
        <v>17</v>
      </c>
      <c r="C55" t="s">
        <v>18</v>
      </c>
      <c r="D55">
        <f>VALUE(SUBSTITUTE(C55,"$",""))</f>
        <v>15400</v>
      </c>
    </row>
    <row r="56" spans="2:4" x14ac:dyDescent="0.3">
      <c r="B56" t="s">
        <v>22</v>
      </c>
      <c r="C56" t="s">
        <v>23</v>
      </c>
      <c r="D56">
        <f t="shared" ref="D56:D72" si="5">VALUE(SUBSTITUTE(C56,"$",""))</f>
        <v>24321</v>
      </c>
    </row>
    <row r="57" spans="2:4" x14ac:dyDescent="0.3">
      <c r="B57" t="s">
        <v>26</v>
      </c>
      <c r="C57" t="s">
        <v>27</v>
      </c>
      <c r="D57">
        <f t="shared" si="5"/>
        <v>102342</v>
      </c>
    </row>
    <row r="58" spans="2:4" x14ac:dyDescent="0.3">
      <c r="B58" t="s">
        <v>22</v>
      </c>
      <c r="C58" t="s">
        <v>28</v>
      </c>
      <c r="D58">
        <f t="shared" si="5"/>
        <v>55272</v>
      </c>
    </row>
    <row r="59" spans="2:4" x14ac:dyDescent="0.3">
      <c r="B59" t="s">
        <v>17</v>
      </c>
      <c r="C59" t="s">
        <v>30</v>
      </c>
      <c r="D59">
        <f t="shared" si="5"/>
        <v>42000</v>
      </c>
    </row>
    <row r="60" spans="2:4" x14ac:dyDescent="0.3">
      <c r="B60" t="s">
        <v>26</v>
      </c>
      <c r="C60" t="s">
        <v>32</v>
      </c>
      <c r="D60">
        <f t="shared" si="5"/>
        <v>51292</v>
      </c>
    </row>
    <row r="61" spans="2:4" x14ac:dyDescent="0.3">
      <c r="B61" t="s">
        <v>26</v>
      </c>
      <c r="C61" t="s">
        <v>34</v>
      </c>
      <c r="D61">
        <f t="shared" si="5"/>
        <v>37605</v>
      </c>
    </row>
    <row r="62" spans="2:4" x14ac:dyDescent="0.3">
      <c r="B62" t="s">
        <v>17</v>
      </c>
      <c r="C62" t="s">
        <v>36</v>
      </c>
      <c r="D62">
        <f t="shared" si="5"/>
        <v>45000</v>
      </c>
    </row>
    <row r="63" spans="2:4" x14ac:dyDescent="0.3">
      <c r="B63" t="s">
        <v>22</v>
      </c>
      <c r="C63" t="s">
        <v>38</v>
      </c>
      <c r="D63">
        <f t="shared" si="5"/>
        <v>13241</v>
      </c>
    </row>
    <row r="64" spans="2:4" x14ac:dyDescent="0.3">
      <c r="B64" t="s">
        <v>22</v>
      </c>
      <c r="C64" t="s">
        <v>39</v>
      </c>
      <c r="D64">
        <f t="shared" si="5"/>
        <v>49344</v>
      </c>
    </row>
    <row r="65" spans="2:4" x14ac:dyDescent="0.3">
      <c r="B65" t="s">
        <v>17</v>
      </c>
      <c r="C65" t="s">
        <v>42</v>
      </c>
      <c r="D65">
        <f t="shared" si="5"/>
        <v>52432</v>
      </c>
    </row>
    <row r="66" spans="2:4" x14ac:dyDescent="0.3">
      <c r="B66" t="s">
        <v>22</v>
      </c>
      <c r="C66" t="s">
        <v>45</v>
      </c>
      <c r="D66">
        <f t="shared" si="5"/>
        <v>17452</v>
      </c>
    </row>
    <row r="67" spans="2:4" x14ac:dyDescent="0.3">
      <c r="B67" t="s">
        <v>17</v>
      </c>
      <c r="C67" t="s">
        <v>47</v>
      </c>
      <c r="D67">
        <f t="shared" si="5"/>
        <v>23250</v>
      </c>
    </row>
    <row r="68" spans="2:4" x14ac:dyDescent="0.3">
      <c r="B68" t="s">
        <v>22</v>
      </c>
      <c r="C68" t="s">
        <v>49</v>
      </c>
      <c r="D68">
        <f t="shared" si="5"/>
        <v>32420</v>
      </c>
    </row>
    <row r="69" spans="2:4" x14ac:dyDescent="0.3">
      <c r="B69" t="s">
        <v>22</v>
      </c>
      <c r="C69" t="s">
        <v>51</v>
      </c>
      <c r="D69">
        <f t="shared" si="5"/>
        <v>18454</v>
      </c>
    </row>
    <row r="70" spans="2:4" x14ac:dyDescent="0.3">
      <c r="B70" t="s">
        <v>17</v>
      </c>
      <c r="C70" t="s">
        <v>52</v>
      </c>
      <c r="D70">
        <f t="shared" si="5"/>
        <v>41000</v>
      </c>
    </row>
    <row r="71" spans="2:4" x14ac:dyDescent="0.3">
      <c r="B71" t="s">
        <v>22</v>
      </c>
      <c r="C71" t="s">
        <v>54</v>
      </c>
      <c r="D71">
        <f t="shared" si="5"/>
        <v>35240</v>
      </c>
    </row>
    <row r="72" spans="2:4" x14ac:dyDescent="0.3">
      <c r="B72" t="s">
        <v>55</v>
      </c>
      <c r="C72" t="s">
        <v>56</v>
      </c>
      <c r="D72">
        <f t="shared" si="5"/>
        <v>22520</v>
      </c>
    </row>
    <row r="74" spans="2:4" x14ac:dyDescent="0.3">
      <c r="B74" s="11" t="s">
        <v>12</v>
      </c>
      <c r="C74" s="11" t="s">
        <v>79</v>
      </c>
    </row>
    <row r="75" spans="2:4" x14ac:dyDescent="0.3">
      <c r="B75" s="4" t="str" cm="1">
        <f t="array" ref="B75:B78">_xlfn.UNIQUE(B55:B72)</f>
        <v>1st owner</v>
      </c>
      <c r="C75" s="4">
        <f>AVERAGEIF($B$55:$B$72,$B75,$D$55:$D$72)</f>
        <v>36513.666666666664</v>
      </c>
    </row>
    <row r="76" spans="2:4" x14ac:dyDescent="0.3">
      <c r="B76" s="4" t="str">
        <v>2nd owner</v>
      </c>
      <c r="C76" s="4">
        <f t="shared" ref="C76:C78" si="6">AVERAGEIF($B$55:$B$72,$B76,$D$55:$D$72)</f>
        <v>30718</v>
      </c>
    </row>
    <row r="77" spans="2:4" x14ac:dyDescent="0.3">
      <c r="B77" s="4" t="str">
        <v>3rd owner</v>
      </c>
      <c r="C77" s="4">
        <f t="shared" si="6"/>
        <v>63746.333333333336</v>
      </c>
    </row>
    <row r="78" spans="2:4" x14ac:dyDescent="0.3">
      <c r="B78" s="4" t="str">
        <v>4th owner</v>
      </c>
      <c r="C78" s="4">
        <f t="shared" si="6"/>
        <v>22520</v>
      </c>
    </row>
  </sheetData>
  <hyperlinks>
    <hyperlink ref="K2" r:id="rId1" xr:uid="{D0E1C18C-C937-43DE-B54E-DDF6C4771C5D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95B93-987E-48A6-B5B5-63BA0A3C8A2E}">
  <dimension ref="A1:B9"/>
  <sheetViews>
    <sheetView workbookViewId="0">
      <selection activeCell="C25" sqref="C25"/>
    </sheetView>
  </sheetViews>
  <sheetFormatPr defaultRowHeight="14.4" x14ac:dyDescent="0.3"/>
  <sheetData>
    <row r="1" spans="1:2" x14ac:dyDescent="0.3">
      <c r="A1" s="1" t="s">
        <v>57</v>
      </c>
      <c r="B1" s="1" t="s">
        <v>58</v>
      </c>
    </row>
    <row r="2" spans="1:2" x14ac:dyDescent="0.3">
      <c r="A2" t="s">
        <v>59</v>
      </c>
      <c r="B2" t="s">
        <v>60</v>
      </c>
    </row>
    <row r="3" spans="1:2" x14ac:dyDescent="0.3">
      <c r="A3" t="s">
        <v>61</v>
      </c>
      <c r="B3" t="s">
        <v>60</v>
      </c>
    </row>
    <row r="4" spans="1:2" x14ac:dyDescent="0.3">
      <c r="A4" t="s">
        <v>62</v>
      </c>
      <c r="B4" t="s">
        <v>63</v>
      </c>
    </row>
    <row r="5" spans="1:2" x14ac:dyDescent="0.3">
      <c r="A5" t="s">
        <v>64</v>
      </c>
      <c r="B5" t="s">
        <v>65</v>
      </c>
    </row>
    <row r="6" spans="1:2" x14ac:dyDescent="0.3">
      <c r="A6" t="s">
        <v>66</v>
      </c>
      <c r="B6" t="s">
        <v>60</v>
      </c>
    </row>
    <row r="7" spans="1:2" x14ac:dyDescent="0.3">
      <c r="A7" t="s">
        <v>67</v>
      </c>
      <c r="B7" t="s">
        <v>68</v>
      </c>
    </row>
    <row r="8" spans="1:2" x14ac:dyDescent="0.3">
      <c r="A8" t="s">
        <v>69</v>
      </c>
      <c r="B8" t="s">
        <v>63</v>
      </c>
    </row>
    <row r="9" spans="1:2" x14ac:dyDescent="0.3">
      <c r="A9" t="s">
        <v>70</v>
      </c>
      <c r="B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Manufacturing country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Tarun Singh</cp:lastModifiedBy>
  <cp:revision/>
  <dcterms:created xsi:type="dcterms:W3CDTF">2022-07-27T18:21:06Z</dcterms:created>
  <dcterms:modified xsi:type="dcterms:W3CDTF">2025-12-19T16:40:20Z</dcterms:modified>
  <cp:category/>
  <cp:contentStatus/>
</cp:coreProperties>
</file>