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307a5c1aaefead/Documents/"/>
    </mc:Choice>
  </mc:AlternateContent>
  <xr:revisionPtr revIDLastSave="201" documentId="8_{082823CE-1AAB-4000-9AAF-2523B68DB5DC}" xr6:coauthVersionLast="47" xr6:coauthVersionMax="47" xr10:uidLastSave="{95CD2722-9BBB-46F7-891B-5E25FC99D97B}"/>
  <bookViews>
    <workbookView xWindow="-108" yWindow="-108" windowWidth="23256" windowHeight="12456" xr2:uid="{47F0FE2C-C37E-4546-B49C-F380B6825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9" i="1" l="1"/>
  <c r="C104" i="1"/>
  <c r="C96" i="1"/>
  <c r="C106" i="1" s="1"/>
  <c r="C85" i="1"/>
  <c r="E87" i="1" s="1"/>
  <c r="D57" i="1"/>
  <c r="E41" i="1"/>
  <c r="C31" i="1"/>
  <c r="F33" i="1" s="1"/>
  <c r="G14" i="1"/>
  <c r="F9" i="1"/>
</calcChain>
</file>

<file path=xl/sharedStrings.xml><?xml version="1.0" encoding="utf-8"?>
<sst xmlns="http://schemas.openxmlformats.org/spreadsheetml/2006/main" count="81" uniqueCount="75">
  <si>
    <t>Ques 1- A die is rolled. What is the probability of getting:(a) An even number (b) A number greater than 4</t>
  </si>
  <si>
    <t xml:space="preserve">Sol- </t>
  </si>
  <si>
    <t xml:space="preserve">(a) An even number </t>
  </si>
  <si>
    <t>A Die is rolled so,     Total Outcomes = {1,2,3,4,5,6}</t>
  </si>
  <si>
    <t>Favourable outcome = {2,4,6}</t>
  </si>
  <si>
    <t>Probability = Favourable outcome/Total outcome</t>
  </si>
  <si>
    <t>P(getting an even number)=</t>
  </si>
  <si>
    <t xml:space="preserve">(b) A number greater than 4 </t>
  </si>
  <si>
    <t>Favourable outcome = {5,6}</t>
  </si>
  <si>
    <t xml:space="preserve">P(getting a number greater than 4) = </t>
  </si>
  <si>
    <t xml:space="preserve">Ques 2- In a class of 50 students:20 like Mathematics (M), 15 like Science (S), 5 like both subjects. What is the probability that a student chosen at random likes Mathematics or Science?
</t>
  </si>
  <si>
    <t xml:space="preserve">Ans-  </t>
  </si>
  <si>
    <r>
      <t xml:space="preserve">Students who like Mathematics (M) = </t>
    </r>
    <r>
      <rPr>
        <b/>
        <sz val="11"/>
        <color theme="1"/>
        <rFont val="Calibri"/>
        <family val="2"/>
        <scheme val="minor"/>
      </rPr>
      <t>20</t>
    </r>
  </si>
  <si>
    <r>
      <t xml:space="preserve">Students who like Science (S) = </t>
    </r>
    <r>
      <rPr>
        <b/>
        <sz val="11"/>
        <color theme="1"/>
        <rFont val="Calibri"/>
        <family val="2"/>
        <scheme val="minor"/>
      </rPr>
      <t>15</t>
    </r>
  </si>
  <si>
    <r>
      <t xml:space="preserve">Students who like </t>
    </r>
    <r>
      <rPr>
        <b/>
        <sz val="11"/>
        <color theme="1"/>
        <rFont val="Calibri"/>
        <family val="2"/>
        <scheme val="minor"/>
      </rPr>
      <t>both</t>
    </r>
    <r>
      <rPr>
        <sz val="11"/>
        <color theme="1"/>
        <rFont val="Calibri"/>
        <family val="2"/>
        <scheme val="minor"/>
      </rPr>
      <t xml:space="preserve"> (M intersection S) = </t>
    </r>
    <r>
      <rPr>
        <b/>
        <sz val="11"/>
        <color theme="1"/>
        <rFont val="Calibri"/>
        <family val="2"/>
        <scheme val="minor"/>
      </rPr>
      <t>5</t>
    </r>
  </si>
  <si>
    <t>n(M∪S)=n(M)+n(S)−n(M∩S)</t>
  </si>
  <si>
    <t>n(M∪S)</t>
  </si>
  <si>
    <t>Student who likes Maths or Science = n(M∪S)</t>
  </si>
  <si>
    <t>p(student likes Mathematics or Science) =</t>
  </si>
  <si>
    <t>Total students =</t>
  </si>
  <si>
    <t>Ques 3- A bag has 3 red and 2 blue balls. If one ball is drawn randomly and is red, what is the probability that the next ball is also red (without replacement)?</t>
  </si>
  <si>
    <t xml:space="preserve">Ans- </t>
  </si>
  <si>
    <t>P(of drawing another red ball) =</t>
  </si>
  <si>
    <t>After drawing one red ball, 4-2 =</t>
  </si>
  <si>
    <t>red balls remain out of 4 balls.</t>
  </si>
  <si>
    <t>Total balls =</t>
  </si>
  <si>
    <t xml:space="preserve">Ques 4- The population of a school is divided into 60% boys and 40% girls. If you want equal representation
of both genders in the sample, which method should you use: Simple Random Sampling or Stratified Sampling?
Why?
</t>
  </si>
  <si>
    <r>
      <t>Stratified Sampling</t>
    </r>
    <r>
      <rPr>
        <sz val="11"/>
        <color theme="1"/>
        <rFont val="Calibri"/>
        <family val="2"/>
        <scheme val="minor"/>
      </rPr>
      <t xml:space="preserve"> should be used because it ensures equal representation of boys and girls by selecting samples from each gender separately, unlike Simple Random Sampling.</t>
    </r>
  </si>
  <si>
    <t>Ques 5- The average height of 1000 students = 160 cm. A sample of 100 students shows an average height
= 158 cm. Find the sampling error.</t>
  </si>
  <si>
    <t>Sampling Error=Sample Mean−Population Mean</t>
  </si>
  <si>
    <t xml:space="preserve">Sampling error = </t>
  </si>
  <si>
    <r>
      <t>Sample mean height(in cm)</t>
    </r>
    <r>
      <rPr>
        <sz val="11"/>
        <color theme="1"/>
        <rFont val="Calibri"/>
        <family val="2"/>
        <scheme val="minor"/>
      </rPr>
      <t xml:space="preserve"> = </t>
    </r>
  </si>
  <si>
    <r>
      <t>Population mean height(in cm)</t>
    </r>
    <r>
      <rPr>
        <sz val="11"/>
        <color theme="1"/>
        <rFont val="Calibri"/>
        <family val="2"/>
        <scheme val="minor"/>
      </rPr>
      <t xml:space="preserve"> = </t>
    </r>
  </si>
  <si>
    <r>
      <t xml:space="preserve">(The negative sign shows that the sample average height is </t>
    </r>
    <r>
      <rPr>
        <b/>
        <sz val="11"/>
        <color theme="1"/>
        <rFont val="Calibri"/>
        <family val="2"/>
        <scheme val="minor"/>
      </rPr>
      <t>2 cm less</t>
    </r>
    <r>
      <rPr>
        <sz val="11"/>
        <color theme="1"/>
        <rFont val="Calibri"/>
        <family val="2"/>
        <scheme val="minor"/>
      </rPr>
      <t xml:space="preserve"> than the population average height.)</t>
    </r>
  </si>
  <si>
    <t>Ques 6- The population mean salary is ₹50,000 with σ = ₹5,000. If we take a sample of 100 employees, what
is the standard error of the mean (SEM)?</t>
  </si>
  <si>
    <r>
      <t xml:space="preserve">Population standard deviation (σ) = </t>
    </r>
    <r>
      <rPr>
        <b/>
        <sz val="11"/>
        <color theme="1"/>
        <rFont val="Calibri"/>
        <family val="2"/>
        <scheme val="minor"/>
      </rPr>
      <t>₹5,000</t>
    </r>
  </si>
  <si>
    <r>
      <t xml:space="preserve">Sample size (n) = </t>
    </r>
    <r>
      <rPr>
        <b/>
        <sz val="11"/>
        <color theme="1"/>
        <rFont val="Calibri"/>
        <family val="2"/>
        <scheme val="minor"/>
      </rPr>
      <t>100</t>
    </r>
  </si>
  <si>
    <t>SEM=</t>
  </si>
  <si>
    <t>SEM=σ​/square root n</t>
  </si>
  <si>
    <t>Standard Error of the Mean (SEM) = ₹500</t>
  </si>
  <si>
    <t>5000/10=</t>
  </si>
  <si>
    <t xml:space="preserve">Ques 7- In a group of 100 students: 40 like Cricket (C), 30 like Football (F), 10 like both Cricket and Football. Find the probability that a student likes at least one sport. </t>
  </si>
  <si>
    <r>
      <t xml:space="preserve">formula for </t>
    </r>
    <r>
      <rPr>
        <b/>
        <sz val="11"/>
        <color theme="1"/>
        <rFont val="Calibri"/>
        <family val="2"/>
        <scheme val="minor"/>
      </rPr>
      <t>at least one sport</t>
    </r>
    <r>
      <rPr>
        <sz val="11"/>
        <color theme="1"/>
        <rFont val="Calibri"/>
        <family val="2"/>
        <scheme val="minor"/>
      </rPr>
      <t xml:space="preserve"> (Cricket OR Football)</t>
    </r>
  </si>
  <si>
    <t>n(C∪F)=n(C)+n(F)−n(C∩F)</t>
  </si>
  <si>
    <t>n(C∪F)=</t>
  </si>
  <si>
    <t xml:space="preserve">Total students = </t>
  </si>
  <si>
    <t xml:space="preserve">Students who like Cricket (C) = </t>
  </si>
  <si>
    <t xml:space="preserve">Students who like Football (F) = </t>
  </si>
  <si>
    <r>
      <t xml:space="preserve">Students who like </t>
    </r>
    <r>
      <rPr>
        <b/>
        <sz val="11"/>
        <color theme="1"/>
        <rFont val="Calibri"/>
        <family val="2"/>
        <scheme val="minor"/>
      </rPr>
      <t>both</t>
    </r>
    <r>
      <rPr>
        <sz val="11"/>
        <color theme="1"/>
        <rFont val="Calibri"/>
        <family val="2"/>
        <scheme val="minor"/>
      </rPr>
      <t xml:space="preserve"> (C ∩ F) = </t>
    </r>
  </si>
  <si>
    <t>P(Student likes atleast one sport)</t>
  </si>
  <si>
    <t xml:space="preserve">Ques 8- From a deck of 52 cards, two cards are drawn without replacement. What is the probability that both are Aces?
</t>
  </si>
  <si>
    <t>Ans-</t>
  </si>
  <si>
    <t>P(1st ace)</t>
  </si>
  <si>
    <t>Total Aces =</t>
  </si>
  <si>
    <t xml:space="preserve">Total card = </t>
  </si>
  <si>
    <t>(One Ace is already removed)</t>
  </si>
  <si>
    <t>P (2nd ace)</t>
  </si>
  <si>
    <t xml:space="preserve">Remaining Aces = </t>
  </si>
  <si>
    <t xml:space="preserve">Remaining cards = </t>
  </si>
  <si>
    <t>P(both aces)</t>
  </si>
  <si>
    <t>number of successes=</t>
  </si>
  <si>
    <t>total trials=</t>
  </si>
  <si>
    <t>2% = 0.02</t>
  </si>
  <si>
    <t xml:space="preserve">probability of non-defective= 1-0.02= </t>
  </si>
  <si>
    <t>Ques 9-A factory produces bulbs with 2% defective rate. If 5 bulbs are chosen at random, what is the 
probability that all are non-defective?</t>
  </si>
  <si>
    <t>P(of non-defective bulb)</t>
  </si>
  <si>
    <t>Ques 10- Differentiate between discrete and continuous random variables with examples.</t>
  </si>
  <si>
    <t>Discrete Random Variable</t>
  </si>
  <si>
    <r>
      <t xml:space="preserve">1. Takes </t>
    </r>
    <r>
      <rPr>
        <b/>
        <sz val="11"/>
        <color theme="1"/>
        <rFont val="Calibri"/>
        <family val="2"/>
        <scheme val="minor"/>
      </rPr>
      <t>countable values</t>
    </r>
    <r>
      <rPr>
        <sz val="11"/>
        <color theme="1"/>
        <rFont val="Calibri"/>
        <family val="2"/>
        <scheme val="minor"/>
      </rPr>
      <t>.</t>
    </r>
  </si>
  <si>
    <r>
      <t xml:space="preserve">2. Values are obtained by </t>
    </r>
    <r>
      <rPr>
        <b/>
        <sz val="11"/>
        <color theme="1"/>
        <rFont val="Calibri"/>
        <family val="2"/>
        <scheme val="minor"/>
      </rPr>
      <t>counting</t>
    </r>
    <r>
      <rPr>
        <sz val="11"/>
        <color theme="1"/>
        <rFont val="Calibri"/>
        <family val="2"/>
        <scheme val="minor"/>
      </rPr>
      <t>.</t>
    </r>
  </si>
  <si>
    <t>3. Example: Number of students in a class.</t>
  </si>
  <si>
    <t>Continuous Random Variable</t>
  </si>
  <si>
    <r>
      <t xml:space="preserve">1. Takes </t>
    </r>
    <r>
      <rPr>
        <b/>
        <sz val="11"/>
        <color theme="1"/>
        <rFont val="Calibri"/>
        <family val="2"/>
        <scheme val="minor"/>
      </rPr>
      <t>uncountable values</t>
    </r>
    <r>
      <rPr>
        <sz val="11"/>
        <color theme="1"/>
        <rFont val="Calibri"/>
        <family val="2"/>
        <scheme val="minor"/>
      </rPr>
      <t>.</t>
    </r>
  </si>
  <si>
    <r>
      <t xml:space="preserve">2. Values are obtained by </t>
    </r>
    <r>
      <rPr>
        <b/>
        <sz val="11"/>
        <color theme="1"/>
        <rFont val="Calibri"/>
        <family val="2"/>
        <scheme val="minor"/>
      </rPr>
      <t>measurement</t>
    </r>
    <r>
      <rPr>
        <sz val="11"/>
        <color theme="1"/>
        <rFont val="Calibri"/>
        <family val="2"/>
        <scheme val="minor"/>
      </rPr>
      <t>.</t>
    </r>
  </si>
  <si>
    <t>3. Example: Height or weight of a person.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</si>
</sst>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/>
    <xf numFmtId="0" fontId="0" fillId="4" borderId="0" xfId="0" applyFill="1" applyAlignment="1">
      <alignment wrapText="1"/>
    </xf>
    <xf numFmtId="0" fontId="1" fillId="4" borderId="0" xfId="0" applyFont="1" applyFill="1"/>
    <xf numFmtId="12" fontId="0" fillId="0" borderId="0" xfId="0" applyNumberFormat="1"/>
    <xf numFmtId="0" fontId="0" fillId="5" borderId="0" xfId="0" applyFill="1"/>
    <xf numFmtId="0" fontId="0" fillId="5" borderId="0" xfId="0" applyNumberFormat="1" applyFill="1"/>
    <xf numFmtId="0" fontId="0" fillId="0" borderId="0" xfId="0" applyAlignment="1">
      <alignment horizontal="left" vertical="center" indent="1"/>
    </xf>
    <xf numFmtId="0" fontId="0" fillId="6" borderId="0" xfId="0" applyFont="1" applyFill="1"/>
    <xf numFmtId="0" fontId="0" fillId="6" borderId="0" xfId="0" applyFill="1"/>
    <xf numFmtId="0" fontId="0" fillId="3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453B-CDC4-4987-B3E2-5C0C5AFDF704}">
  <dimension ref="A1:T130"/>
  <sheetViews>
    <sheetView tabSelected="1" topLeftCell="A107" workbookViewId="0">
      <selection activeCell="E87" sqref="E87"/>
    </sheetView>
  </sheetViews>
  <sheetFormatPr defaultRowHeight="14.4" x14ac:dyDescent="0.3"/>
  <cols>
    <col min="2" max="2" width="10.88671875" customWidth="1"/>
    <col min="3" max="3" width="9.88671875" customWidth="1"/>
    <col min="4" max="4" width="11.33203125" customWidth="1"/>
    <col min="8" max="8" width="13.33203125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3">
      <c r="A3" t="s">
        <v>1</v>
      </c>
      <c r="C3" t="s">
        <v>3</v>
      </c>
      <c r="H3">
        <v>6</v>
      </c>
    </row>
    <row r="5" spans="1:10" x14ac:dyDescent="0.3">
      <c r="B5" t="s">
        <v>2</v>
      </c>
      <c r="D5" t="s">
        <v>4</v>
      </c>
      <c r="G5">
        <v>3</v>
      </c>
    </row>
    <row r="7" spans="1:10" x14ac:dyDescent="0.3">
      <c r="C7" s="3" t="s">
        <v>5</v>
      </c>
      <c r="D7" s="3"/>
      <c r="E7" s="3"/>
      <c r="F7" s="3"/>
      <c r="G7" s="3"/>
    </row>
    <row r="9" spans="1:10" x14ac:dyDescent="0.3">
      <c r="C9" s="2" t="s">
        <v>6</v>
      </c>
      <c r="D9" s="2"/>
      <c r="E9" s="2"/>
      <c r="F9" s="2">
        <f>G5/H3</f>
        <v>0.5</v>
      </c>
    </row>
    <row r="12" spans="1:10" x14ac:dyDescent="0.3">
      <c r="B12" t="s">
        <v>7</v>
      </c>
      <c r="E12" t="s">
        <v>8</v>
      </c>
      <c r="H12">
        <v>2</v>
      </c>
    </row>
    <row r="14" spans="1:10" x14ac:dyDescent="0.3">
      <c r="C14" s="2" t="s">
        <v>9</v>
      </c>
      <c r="D14" s="2"/>
      <c r="E14" s="2"/>
      <c r="F14" s="2"/>
      <c r="G14" s="2">
        <f>H12/H3</f>
        <v>0.33333333333333331</v>
      </c>
    </row>
    <row r="17" spans="1:17" x14ac:dyDescent="0.3">
      <c r="A17" s="1" t="s">
        <v>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9" spans="1:17" x14ac:dyDescent="0.3">
      <c r="A19" t="s">
        <v>11</v>
      </c>
      <c r="B19" t="s">
        <v>19</v>
      </c>
      <c r="D19">
        <v>50</v>
      </c>
    </row>
    <row r="21" spans="1:17" x14ac:dyDescent="0.3">
      <c r="B21" t="s">
        <v>12</v>
      </c>
      <c r="H21">
        <v>20</v>
      </c>
    </row>
    <row r="23" spans="1:17" x14ac:dyDescent="0.3">
      <c r="B23" t="s">
        <v>13</v>
      </c>
      <c r="H23">
        <v>15</v>
      </c>
    </row>
    <row r="25" spans="1:17" x14ac:dyDescent="0.3">
      <c r="B25" t="s">
        <v>14</v>
      </c>
      <c r="H25">
        <v>5</v>
      </c>
    </row>
    <row r="27" spans="1:17" x14ac:dyDescent="0.3">
      <c r="B27" t="s">
        <v>17</v>
      </c>
    </row>
    <row r="29" spans="1:17" x14ac:dyDescent="0.3">
      <c r="B29" s="3" t="s">
        <v>15</v>
      </c>
      <c r="C29" s="3"/>
      <c r="D29" s="3"/>
    </row>
    <row r="31" spans="1:17" x14ac:dyDescent="0.3">
      <c r="B31" t="s">
        <v>16</v>
      </c>
      <c r="C31">
        <f>H21+H23-H25</f>
        <v>30</v>
      </c>
    </row>
    <row r="33" spans="1:20" x14ac:dyDescent="0.3">
      <c r="B33" s="2" t="s">
        <v>18</v>
      </c>
      <c r="C33" s="2"/>
      <c r="D33" s="2"/>
      <c r="E33" s="2"/>
      <c r="F33" s="2">
        <f>C31/D19</f>
        <v>0.6</v>
      </c>
    </row>
    <row r="36" spans="1:20" x14ac:dyDescent="0.3">
      <c r="A36" s="1" t="s">
        <v>20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8" spans="1:20" x14ac:dyDescent="0.3">
      <c r="A38" t="s">
        <v>21</v>
      </c>
      <c r="B38" t="s">
        <v>25</v>
      </c>
      <c r="D38">
        <v>4</v>
      </c>
    </row>
    <row r="39" spans="1:20" x14ac:dyDescent="0.3">
      <c r="B39" t="s">
        <v>23</v>
      </c>
      <c r="E39">
        <v>2</v>
      </c>
      <c r="F39" t="s">
        <v>24</v>
      </c>
    </row>
    <row r="41" spans="1:20" x14ac:dyDescent="0.3">
      <c r="B41" s="2" t="s">
        <v>22</v>
      </c>
      <c r="C41" s="2"/>
      <c r="D41" s="2"/>
      <c r="E41" s="2">
        <f>E39/D38</f>
        <v>0.5</v>
      </c>
    </row>
    <row r="44" spans="1:20" x14ac:dyDescent="0.3">
      <c r="A44" s="5" t="s">
        <v>26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6" spans="1:20" x14ac:dyDescent="0.3">
      <c r="A46" t="s">
        <v>21</v>
      </c>
      <c r="B46" s="4" t="s">
        <v>27</v>
      </c>
    </row>
    <row r="49" spans="1:14" x14ac:dyDescent="0.3">
      <c r="A49" s="5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1" spans="1:14" x14ac:dyDescent="0.3">
      <c r="A51" t="s">
        <v>21</v>
      </c>
      <c r="B51" s="4" t="s">
        <v>32</v>
      </c>
      <c r="E51">
        <v>160</v>
      </c>
    </row>
    <row r="53" spans="1:14" x14ac:dyDescent="0.3">
      <c r="B53" s="4" t="s">
        <v>31</v>
      </c>
      <c r="E53">
        <v>158</v>
      </c>
    </row>
    <row r="55" spans="1:14" x14ac:dyDescent="0.3">
      <c r="B55" s="3" t="s">
        <v>29</v>
      </c>
      <c r="C55" s="3"/>
      <c r="D55" s="3"/>
      <c r="E55" s="3"/>
      <c r="F55" s="3"/>
    </row>
    <row r="57" spans="1:14" x14ac:dyDescent="0.3">
      <c r="B57" s="2" t="s">
        <v>30</v>
      </c>
      <c r="C57" s="2"/>
      <c r="D57" s="2">
        <f>E53-E51</f>
        <v>-2</v>
      </c>
      <c r="E57" s="2" t="s">
        <v>33</v>
      </c>
      <c r="F57" s="2"/>
      <c r="G57" s="2"/>
      <c r="H57" s="2"/>
      <c r="I57" s="2"/>
      <c r="J57" s="2"/>
      <c r="K57" s="2"/>
      <c r="L57" s="2"/>
      <c r="M57" s="2"/>
      <c r="N57" s="2"/>
    </row>
    <row r="60" spans="1:14" x14ac:dyDescent="0.3">
      <c r="A60" s="5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2" spans="1:14" x14ac:dyDescent="0.3">
      <c r="A62" t="s">
        <v>21</v>
      </c>
      <c r="B62" t="s">
        <v>35</v>
      </c>
    </row>
    <row r="64" spans="1:14" x14ac:dyDescent="0.3">
      <c r="B64" t="s">
        <v>36</v>
      </c>
    </row>
    <row r="66" spans="1:15" x14ac:dyDescent="0.3">
      <c r="B66" s="3" t="s">
        <v>38</v>
      </c>
      <c r="C66" s="6"/>
    </row>
    <row r="68" spans="1:15" x14ac:dyDescent="0.3">
      <c r="B68" t="s">
        <v>37</v>
      </c>
      <c r="C68" t="s">
        <v>40</v>
      </c>
      <c r="D68">
        <v>500</v>
      </c>
    </row>
    <row r="70" spans="1:15" x14ac:dyDescent="0.3">
      <c r="B70" s="2" t="s">
        <v>39</v>
      </c>
      <c r="C70" s="2"/>
      <c r="D70" s="2"/>
      <c r="E70" s="2"/>
    </row>
    <row r="73" spans="1:15" x14ac:dyDescent="0.3">
      <c r="A73" s="1" t="s">
        <v>41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5" spans="1:15" x14ac:dyDescent="0.3">
      <c r="A75" t="s">
        <v>21</v>
      </c>
      <c r="B75" t="s">
        <v>45</v>
      </c>
      <c r="D75">
        <v>100</v>
      </c>
    </row>
    <row r="77" spans="1:15" x14ac:dyDescent="0.3">
      <c r="B77" t="s">
        <v>46</v>
      </c>
      <c r="E77">
        <v>40</v>
      </c>
    </row>
    <row r="79" spans="1:15" x14ac:dyDescent="0.3">
      <c r="B79" t="s">
        <v>47</v>
      </c>
      <c r="E79">
        <v>30</v>
      </c>
    </row>
    <row r="81" spans="1:11" x14ac:dyDescent="0.3">
      <c r="B81" t="s">
        <v>48</v>
      </c>
      <c r="E81">
        <v>10</v>
      </c>
    </row>
    <row r="83" spans="1:11" x14ac:dyDescent="0.3">
      <c r="B83" s="3" t="s">
        <v>42</v>
      </c>
      <c r="C83" s="3"/>
      <c r="D83" s="3"/>
      <c r="E83" s="3"/>
      <c r="F83" s="3"/>
      <c r="G83" s="7" t="s">
        <v>43</v>
      </c>
      <c r="H83" s="3"/>
    </row>
    <row r="85" spans="1:11" x14ac:dyDescent="0.3">
      <c r="B85" t="s">
        <v>44</v>
      </c>
      <c r="C85">
        <f>E77+E79-E81</f>
        <v>60</v>
      </c>
    </row>
    <row r="87" spans="1:11" x14ac:dyDescent="0.3">
      <c r="B87" s="2" t="s">
        <v>49</v>
      </c>
      <c r="C87" s="2"/>
      <c r="D87" s="2"/>
      <c r="E87" s="2">
        <f>C85/D75</f>
        <v>0.6</v>
      </c>
    </row>
    <row r="90" spans="1:11" x14ac:dyDescent="0.3">
      <c r="A90" s="5" t="s">
        <v>50</v>
      </c>
      <c r="B90" s="1"/>
      <c r="C90" s="1"/>
      <c r="D90" s="1"/>
      <c r="E90" s="1"/>
      <c r="F90" s="1"/>
      <c r="G90" s="1"/>
      <c r="H90" s="1"/>
      <c r="I90" s="1"/>
      <c r="J90" s="1"/>
      <c r="K90" s="1"/>
    </row>
    <row r="92" spans="1:11" x14ac:dyDescent="0.3">
      <c r="A92" t="s">
        <v>51</v>
      </c>
      <c r="B92" t="s">
        <v>54</v>
      </c>
      <c r="C92">
        <v>52</v>
      </c>
    </row>
    <row r="94" spans="1:11" x14ac:dyDescent="0.3">
      <c r="B94" t="s">
        <v>53</v>
      </c>
      <c r="C94">
        <v>4</v>
      </c>
    </row>
    <row r="96" spans="1:11" x14ac:dyDescent="0.3">
      <c r="B96" s="9" t="s">
        <v>52</v>
      </c>
      <c r="C96" s="10">
        <f>C94/C92</f>
        <v>7.6923076923076927E-2</v>
      </c>
    </row>
    <row r="98" spans="1:12" x14ac:dyDescent="0.3">
      <c r="B98" t="s">
        <v>55</v>
      </c>
    </row>
    <row r="99" spans="1:12" x14ac:dyDescent="0.3">
      <c r="B99" s="11"/>
    </row>
    <row r="100" spans="1:12" x14ac:dyDescent="0.3">
      <c r="B100" s="11" t="s">
        <v>57</v>
      </c>
      <c r="D100">
        <v>3</v>
      </c>
    </row>
    <row r="101" spans="1:12" x14ac:dyDescent="0.3">
      <c r="B101" s="11"/>
    </row>
    <row r="102" spans="1:12" x14ac:dyDescent="0.3">
      <c r="B102" s="11" t="s">
        <v>58</v>
      </c>
      <c r="D102">
        <v>51</v>
      </c>
    </row>
    <row r="104" spans="1:12" x14ac:dyDescent="0.3">
      <c r="B104" s="9" t="s">
        <v>56</v>
      </c>
      <c r="C104" s="9">
        <f>D100/D102</f>
        <v>5.8823529411764705E-2</v>
      </c>
    </row>
    <row r="106" spans="1:12" x14ac:dyDescent="0.3">
      <c r="B106" s="2" t="s">
        <v>59</v>
      </c>
      <c r="C106" s="2">
        <f>C96*C104</f>
        <v>4.5248868778280547E-3</v>
      </c>
      <c r="D106" s="8"/>
    </row>
    <row r="109" spans="1:12" x14ac:dyDescent="0.3">
      <c r="A109" s="5" t="s">
        <v>64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1" spans="1:12" x14ac:dyDescent="0.3">
      <c r="A111" t="s">
        <v>51</v>
      </c>
      <c r="B111" s="12" t="s">
        <v>60</v>
      </c>
      <c r="C111" s="13"/>
      <c r="D111" s="13">
        <v>5</v>
      </c>
    </row>
    <row r="113" spans="1:8" x14ac:dyDescent="0.3">
      <c r="B113" s="12" t="s">
        <v>61</v>
      </c>
      <c r="C113" s="13">
        <v>5</v>
      </c>
    </row>
    <row r="115" spans="1:8" x14ac:dyDescent="0.3">
      <c r="B115" t="s">
        <v>62</v>
      </c>
    </row>
    <row r="117" spans="1:8" x14ac:dyDescent="0.3">
      <c r="B117" s="12" t="s">
        <v>63</v>
      </c>
      <c r="C117" s="13"/>
      <c r="D117" s="13"/>
      <c r="E117" s="13">
        <v>0.98</v>
      </c>
    </row>
    <row r="119" spans="1:8" x14ac:dyDescent="0.3">
      <c r="B119" s="14" t="s">
        <v>65</v>
      </c>
      <c r="C119" s="2"/>
      <c r="D119" s="2">
        <f>_xlfn.BINOM.DIST(D111,C113,E117,FALSE)</f>
        <v>0.90392079679999993</v>
      </c>
    </row>
    <row r="122" spans="1:8" x14ac:dyDescent="0.3">
      <c r="A122" s="1" t="s">
        <v>66</v>
      </c>
      <c r="B122" s="1"/>
      <c r="C122" s="1"/>
      <c r="D122" s="1"/>
      <c r="E122" s="1"/>
      <c r="F122" s="1"/>
      <c r="G122" s="1"/>
      <c r="H122" s="1"/>
    </row>
    <row r="124" spans="1:8" ht="18" x14ac:dyDescent="0.3">
      <c r="A124" t="s">
        <v>21</v>
      </c>
      <c r="B124" s="15" t="s">
        <v>67</v>
      </c>
      <c r="G124" s="15" t="s">
        <v>71</v>
      </c>
    </row>
    <row r="125" spans="1:8" x14ac:dyDescent="0.3">
      <c r="B125" s="11"/>
      <c r="G125" s="11"/>
    </row>
    <row r="126" spans="1:8" x14ac:dyDescent="0.3">
      <c r="B126" s="11" t="s">
        <v>68</v>
      </c>
      <c r="G126" s="11" t="s">
        <v>72</v>
      </c>
    </row>
    <row r="127" spans="1:8" x14ac:dyDescent="0.3">
      <c r="B127" s="11"/>
      <c r="G127" s="11"/>
    </row>
    <row r="128" spans="1:8" x14ac:dyDescent="0.3">
      <c r="B128" s="11" t="s">
        <v>69</v>
      </c>
      <c r="G128" s="11" t="s">
        <v>73</v>
      </c>
    </row>
    <row r="129" spans="2:7" x14ac:dyDescent="0.3">
      <c r="B129" s="11"/>
      <c r="G129" s="11"/>
    </row>
    <row r="130" spans="2:7" x14ac:dyDescent="0.3">
      <c r="B130" s="11" t="s">
        <v>70</v>
      </c>
      <c r="G130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2025-12-30T17:33:04Z</dcterms:created>
  <dcterms:modified xsi:type="dcterms:W3CDTF">2025-12-30T21:10:54Z</dcterms:modified>
</cp:coreProperties>
</file>