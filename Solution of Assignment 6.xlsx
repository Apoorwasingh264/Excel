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https://d.docs.live.net/84307a5c1aaefead/Documents/"/>
    </mc:Choice>
  </mc:AlternateContent>
  <xr:revisionPtr revIDLastSave="64" documentId="8_{81BE0229-75B0-4772-B6CC-734947017860}" xr6:coauthVersionLast="47" xr6:coauthVersionMax="47" xr10:uidLastSave="{A7B34443-DFB8-48C5-A4DA-A90FFD523E48}"/>
  <bookViews>
    <workbookView xWindow="-108" yWindow="-108" windowWidth="23256" windowHeight="12456" xr2:uid="{339F755D-E4C4-4B82-A564-AD4D4D419F15}"/>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121" i="1" l="1"/>
  <c r="C119" i="1"/>
  <c r="C117" i="1" a="1"/>
  <c r="C117" i="1" s="1"/>
  <c r="C115" i="1"/>
  <c r="C113" i="1"/>
  <c r="D92" i="1"/>
  <c r="C90" i="1"/>
  <c r="C51" i="1"/>
  <c r="C41" i="1"/>
  <c r="C30" i="1"/>
  <c r="C17" i="1" a="1"/>
  <c r="C17" i="1" s="1"/>
  <c r="D10" i="1"/>
  <c r="D3"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<sst xmlns="http://schemas.openxmlformats.org/spreadsheetml/2006/main" count="69" uniqueCount="53">
  <si>
    <t>Q.1- A bakery tracks the daily sales of muffins (in dozens) over a week: [10, 12, 11, 15, 14, 13, 12]. What is the most representative value of their weekly sales, and why?</t>
  </si>
  <si>
    <t xml:space="preserve">Ans- </t>
  </si>
  <si>
    <t>The most representative value of the bakery’s weekly sales is the mean, which is approximately 12.4 dozens of muffins per day, because the data has no extreme values and the mean accurately reflects the overall sales trend.</t>
  </si>
  <si>
    <t>Mean</t>
  </si>
  <si>
    <t>Ans-</t>
  </si>
  <si>
    <t>Q.2- A teacher records the marks of her students in a short quiz: [12, 15, 14, 16, 18, 20, 19].What is the mean score, and what does it tell us about the class’s performance?</t>
  </si>
  <si>
    <t>Data</t>
  </si>
  <si>
    <r>
      <t xml:space="preserve">The </t>
    </r>
    <r>
      <rPr>
        <b/>
        <sz val="11"/>
        <color theme="1"/>
        <rFont val="Calibri"/>
        <family val="2"/>
        <scheme val="minor"/>
      </rPr>
      <t>mean score is approximately 16.3 marks</t>
    </r>
    <r>
      <rPr>
        <sz val="11"/>
        <color theme="1"/>
        <rFont val="Calibri"/>
        <family val="2"/>
        <scheme val="minor"/>
      </rPr>
      <t>.This means that, on average, students scored around 16 marks in the quiz.Since most scores are close to the mean and there are no very low or extreme scores, it indicates that the overall class performance was good and fairly consistent.</t>
    </r>
  </si>
  <si>
    <t>Q.3- A store records the shoe sizes sold in one day: [7, 8, 9, 8, 8, 10, 7, 9].What is the mode, and why is this information useful for the store manager?</t>
  </si>
  <si>
    <t xml:space="preserve">Mode </t>
  </si>
  <si>
    <t>The mode of the shoe sizes is 8. This information is useful because it tells the store manager which shoe size is sold the most, helping in better inventory planning and customer satisfaction.</t>
  </si>
  <si>
    <t>Q.4- A car dealer notes the prices of used cars: [$8,000, $9,500, $10,200, $11,000, $50,000].Why is the median a better measure than the mean in this case? Calculate the median.</t>
  </si>
  <si>
    <t>Median</t>
  </si>
  <si>
    <t>The median price is $10,200. The median is a better measure than the mean because it is not influenced by the unusually high price of $50,000 and therefore gives a more realistic idea of the typical used car price.</t>
  </si>
  <si>
    <t>Q.5- A student times how long it takes to finish a puzzle each day: [25, 30, 27, 35, 40].What does the range tell us about the variation in the student’s puzzle-solving time?</t>
  </si>
  <si>
    <t>Range= Highest value-Lowest Value</t>
  </si>
  <si>
    <t xml:space="preserve">Highest value = </t>
  </si>
  <si>
    <t>Lowest value=</t>
  </si>
  <si>
    <t xml:space="preserve">Range </t>
  </si>
  <si>
    <t>The range is 15 minutes. It tells us that the student’s puzzle-solving time varied by 15 minutes over the days, showing noticeable differences in daily performance.</t>
  </si>
  <si>
    <t>Q.6- A farmer records the weekly weight of harvested apples (kg): [100, 105, 98, 110, 120].Find the range. How can this help the farmer in planning his packaging?</t>
  </si>
  <si>
    <t xml:space="preserve">Highest Value = </t>
  </si>
  <si>
    <t xml:space="preserve">Lowest Value = </t>
  </si>
  <si>
    <t>kg</t>
  </si>
  <si>
    <t>The range of the weekly apple harvest is 22 kg. This helps the farmer understand how much the harvest varies, allowing better planning of packaging and storage to handle both low and high yield weeks.</t>
  </si>
  <si>
    <t>Q.7- Two delivery companies track delivery delays (in minutes).Company A: variance = 6, Company B: variance = 15.Which company is more consistent, and why?</t>
  </si>
  <si>
    <t>Company A Variance = 6</t>
  </si>
  <si>
    <t>Company B Variance = 15</t>
  </si>
  <si>
    <r>
      <t>Variance measures how spread out the data is</t>
    </r>
    <r>
      <rPr>
        <sz val="11"/>
        <color theme="1"/>
        <rFont val="Calibri"/>
        <family val="2"/>
        <scheme val="minor"/>
      </rPr>
      <t xml:space="preserve"> from the average.</t>
    </r>
  </si>
  <si>
    <r>
      <t xml:space="preserve">A </t>
    </r>
    <r>
      <rPr>
        <b/>
        <sz val="11"/>
        <color theme="1"/>
        <rFont val="Calibri"/>
        <family val="2"/>
        <scheme val="minor"/>
      </rPr>
      <t>smaller variance means less variation</t>
    </r>
    <r>
      <rPr>
        <sz val="11"/>
        <color theme="1"/>
        <rFont val="Calibri"/>
        <family val="2"/>
        <scheme val="minor"/>
      </rPr>
      <t>, so the values are closer to the mean.</t>
    </r>
  </si>
  <si>
    <r>
      <rPr>
        <sz val="11"/>
        <color rgb="FFFF0000"/>
        <rFont val="Calibri"/>
        <family val="2"/>
        <scheme val="minor"/>
      </rPr>
      <t>C</t>
    </r>
    <r>
      <rPr>
        <b/>
        <sz val="11"/>
        <color rgb="FFFF0000"/>
        <rFont val="Calibri"/>
        <family val="2"/>
        <scheme val="minor"/>
      </rPr>
      <t xml:space="preserve">ompany A </t>
    </r>
    <r>
      <rPr>
        <b/>
        <sz val="11"/>
        <color theme="1"/>
        <rFont val="Calibri"/>
        <family val="2"/>
        <scheme val="minor"/>
      </rPr>
      <t>is more consistent because its delivery delays vary less from the average compared to Company B, which has a higher variance.</t>
    </r>
  </si>
  <si>
    <t>Q.8- A finance student compares the daily price fluctuations of two cryptocurrencies.
Coin A: standard deviation = $30, 
Coin B: standard deviation = $120. Which coin is riskier to invest in, and why?</t>
  </si>
  <si>
    <t>Coin A Standard Deviation = $30</t>
  </si>
  <si>
    <t>Coin B Standard Deviation = $30</t>
  </si>
  <si>
    <r>
      <t>Standard deviation measures volatility</t>
    </r>
    <r>
      <rPr>
        <sz val="11"/>
        <color theme="1"/>
        <rFont val="Calibri"/>
        <family val="2"/>
        <scheme val="minor"/>
      </rPr>
      <t>, i.e., how much prices fluctuate around the average.</t>
    </r>
  </si>
  <si>
    <r>
      <t xml:space="preserve">A </t>
    </r>
    <r>
      <rPr>
        <b/>
        <sz val="11"/>
        <color theme="1"/>
        <rFont val="Calibri"/>
        <family val="2"/>
        <scheme val="minor"/>
      </rPr>
      <t>higher standard deviation means larger and more frequent price changes</t>
    </r>
    <r>
      <rPr>
        <sz val="11"/>
        <color theme="1"/>
        <rFont val="Calibri"/>
        <family val="2"/>
        <scheme val="minor"/>
      </rPr>
      <t>.</t>
    </r>
  </si>
  <si>
    <r>
      <rPr>
        <b/>
        <sz val="11"/>
        <color rgb="FFFF0000"/>
        <rFont val="Calibri"/>
        <family val="2"/>
        <scheme val="minor"/>
      </rPr>
      <t xml:space="preserve">Coin B </t>
    </r>
    <r>
      <rPr>
        <b/>
        <sz val="11"/>
        <color theme="1"/>
        <rFont val="Calibri"/>
        <family val="2"/>
        <scheme val="minor"/>
      </rPr>
      <t>is riskier to invest in because its higher standard deviation shows greater price fluctuations, making returns more uncertain compared to Coin A.</t>
    </r>
  </si>
  <si>
    <t xml:space="preserve">Q.9- A family records their monthly electricity usage (in kWh): [400, 420, 390, 450, 410].  Find the mean and standard deviation. What do these values together tell you about the family’s energy use pattern?
</t>
  </si>
  <si>
    <t>kwh</t>
  </si>
  <si>
    <t>Standard Deviation</t>
  </si>
  <si>
    <r>
      <t xml:space="preserve">The </t>
    </r>
    <r>
      <rPr>
        <b/>
        <sz val="11"/>
        <color theme="1"/>
        <rFont val="Calibri"/>
        <family val="2"/>
        <scheme val="minor"/>
      </rPr>
      <t>mean (414 kWh)</t>
    </r>
    <r>
      <rPr>
        <sz val="11"/>
        <color theme="1"/>
        <rFont val="Calibri"/>
        <family val="2"/>
        <scheme val="minor"/>
      </rPr>
      <t xml:space="preserve"> shows the family’s </t>
    </r>
    <r>
      <rPr>
        <b/>
        <sz val="11"/>
        <color theme="1"/>
        <rFont val="Calibri"/>
        <family val="2"/>
        <scheme val="minor"/>
      </rPr>
      <t>average monthly electricity consumption</t>
    </r>
    <r>
      <rPr>
        <sz val="11"/>
        <color theme="1"/>
        <rFont val="Calibri"/>
        <family val="2"/>
        <scheme val="minor"/>
      </rPr>
      <t>.</t>
    </r>
  </si>
  <si>
    <r>
      <t xml:space="preserve">The </t>
    </r>
    <r>
      <rPr>
        <b/>
        <sz val="11"/>
        <color theme="1"/>
        <rFont val="Calibri"/>
        <family val="2"/>
        <scheme val="minor"/>
      </rPr>
      <t>standard deviation (~22.8 kWh)</t>
    </r>
    <r>
      <rPr>
        <sz val="11"/>
        <color theme="1"/>
        <rFont val="Calibri"/>
        <family val="2"/>
        <scheme val="minor"/>
      </rPr>
      <t xml:space="preserve"> shows that monthly usage does </t>
    </r>
    <r>
      <rPr>
        <b/>
        <sz val="11"/>
        <color theme="1"/>
        <rFont val="Calibri"/>
        <family val="2"/>
        <scheme val="minor"/>
      </rPr>
      <t>not vary much</t>
    </r>
    <r>
      <rPr>
        <sz val="11"/>
        <color theme="1"/>
        <rFont val="Calibri"/>
        <family val="2"/>
        <scheme val="minor"/>
      </rPr>
      <t xml:space="preserve"> from the average.</t>
    </r>
  </si>
  <si>
    <r>
      <t xml:space="preserve">This means the family’s electricity use is </t>
    </r>
    <r>
      <rPr>
        <b/>
        <sz val="11"/>
        <color theme="1"/>
        <rFont val="Calibri"/>
        <family val="2"/>
        <scheme val="minor"/>
      </rPr>
      <t>fairly consistent</t>
    </r>
    <r>
      <rPr>
        <sz val="11"/>
        <color theme="1"/>
        <rFont val="Calibri"/>
        <family val="2"/>
        <scheme val="minor"/>
      </rPr>
      <t>, with only small increases or decreases each month.</t>
    </r>
  </si>
  <si>
    <t>Q.10 A basketball player’s points in 8 games are recorded: [15, 18, 20, 22, 25, 17, 19, 21]. Find the mean, median, mode, range, and standard deviation. What insights can these measures provide about the player’s scoring performance?</t>
  </si>
  <si>
    <t>Mode</t>
  </si>
  <si>
    <t>(Because there is no repeated value)</t>
  </si>
  <si>
    <t>Range</t>
  </si>
  <si>
    <t>Std.dev</t>
  </si>
  <si>
    <r>
      <t xml:space="preserve">The </t>
    </r>
    <r>
      <rPr>
        <b/>
        <sz val="11"/>
        <color theme="1"/>
        <rFont val="Calibri"/>
        <family val="2"/>
        <scheme val="minor"/>
      </rPr>
      <t>mean (~19.6)</t>
    </r>
    <r>
      <rPr>
        <sz val="11"/>
        <color theme="1"/>
        <rFont val="Calibri"/>
        <family val="2"/>
        <scheme val="minor"/>
      </rPr>
      <t xml:space="preserve"> shows the player is a reliable ~20-point scorer.</t>
    </r>
  </si>
  <si>
    <r>
      <t xml:space="preserve">The </t>
    </r>
    <r>
      <rPr>
        <b/>
        <sz val="11"/>
        <color theme="1"/>
        <rFont val="Calibri"/>
        <family val="2"/>
        <scheme val="minor"/>
      </rPr>
      <t>median (19.5)</t>
    </r>
    <r>
      <rPr>
        <sz val="11"/>
        <color theme="1"/>
        <rFont val="Calibri"/>
        <family val="2"/>
        <scheme val="minor"/>
      </rPr>
      <t xml:space="preserve"> confirms balanced scoring.</t>
    </r>
  </si>
  <si>
    <r>
      <t>No mode</t>
    </r>
    <r>
      <rPr>
        <sz val="11"/>
        <color theme="1"/>
        <rFont val="Calibri"/>
        <family val="2"/>
        <scheme val="minor"/>
      </rPr>
      <t xml:space="preserve"> suggests varied game performances.</t>
    </r>
  </si>
  <si>
    <r>
      <t xml:space="preserve">The </t>
    </r>
    <r>
      <rPr>
        <b/>
        <sz val="11"/>
        <color theme="1"/>
        <rFont val="Calibri"/>
        <family val="2"/>
        <scheme val="minor"/>
      </rPr>
      <t>range (10)</t>
    </r>
    <r>
      <rPr>
        <sz val="11"/>
        <color theme="1"/>
        <rFont val="Calibri"/>
        <family val="2"/>
        <scheme val="minor"/>
      </rPr>
      <t xml:space="preserve"> shows moderate spread between best and worst games.</t>
    </r>
  </si>
  <si>
    <r>
      <t xml:space="preserve">The </t>
    </r>
    <r>
      <rPr>
        <b/>
        <sz val="11"/>
        <color theme="1"/>
        <rFont val="Calibri"/>
        <family val="2"/>
        <scheme val="minor"/>
      </rPr>
      <t>low standard deviation (~3.1)</t>
    </r>
    <r>
      <rPr>
        <sz val="11"/>
        <color theme="1"/>
        <rFont val="Calibri"/>
        <family val="2"/>
        <scheme val="minor"/>
      </rPr>
      <t xml:space="preserve"> indicates the player is </t>
    </r>
    <r>
      <rPr>
        <b/>
        <sz val="11"/>
        <color theme="1"/>
        <rFont val="Calibri"/>
        <family val="2"/>
        <scheme val="minor"/>
      </rPr>
      <t>fairly consistent</t>
    </r>
    <r>
      <rPr>
        <sz val="11"/>
        <color theme="1"/>
        <rFont val="Calibri"/>
        <family val="2"/>
        <scheme val="minor"/>
      </rPr>
      <t xml:space="preserve"> from game to game.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</si>
</sst>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3" formatCode="[$$-409]#,##0"/>
  </numFmts>
  <fonts count="4" x14ac:knownFonts="1">
    <font>
      <sz val="11"/>
      <color theme="1"/>
      <name val="Calibri"/>
      <family val="2"/>
      <scheme val="minor"/>
    </font>
    <font>
      <sz val="11"/>
      <color rgb="FFFF0000"/>
      <name val="Calibri"/>
      <family val="2"/>
      <scheme val="minor"/>
    </font>
    <font>
      <b/>
      <sz val="11"/>
      <color theme="1"/>
      <name val="Calibri"/>
      <family val="2"/>
      <scheme val="minor"/>
    </font>
    <font>
      <b/>
      <sz val="11"/>
      <color rgb="FFFF0000"/>
      <name val="Calibri"/>
      <family val="2"/>
      <scheme val="minor"/>
    </font>
  </fonts>
  <fills count="4">
    <fill>
      <patternFill patternType="none"/>
    </fill>
    <fill>
      <patternFill patternType="gray125"/>
    </fill>
    <fill>
      <patternFill patternType="solid">
        <fgColor theme="4" tint="0.39997558519241921"/>
        <bgColor indexed="64"/>
      </patternFill>
    </fill>
    <fill>
      <patternFill patternType="solid">
        <fgColor theme="7" tint="0.39997558519241921"/>
        <bgColor indexed="64"/>
      </patternFill>
    </fill>
  </fills>
  <borders count="1">
    <border>
      <left/>
      <right/>
      <top/>
      <bottom/>
      <diagonal/>
    </border>
  </borders>
  <cellStyleXfs count="1">
    <xf numFmtId="0" fontId="0" fillId="0" borderId="0"/>
  </cellStyleXfs>
  <cellXfs count="9">
    <xf numFmtId="0" fontId="0" fillId="0" borderId="0" xfId="0"/>
    <xf numFmtId="0" fontId="0" fillId="2" borderId="0" xfId="0" applyFill="1"/>
    <xf numFmtId="0" fontId="2" fillId="2" borderId="0" xfId="0" applyFont="1" applyFill="1"/>
    <xf numFmtId="0" fontId="0" fillId="3" borderId="0" xfId="0" applyFill="1"/>
    <xf numFmtId="0" fontId="0" fillId="3" borderId="0" xfId="0" applyFill="1" applyAlignment="1"/>
    <xf numFmtId="0" fontId="2" fillId="0" borderId="0" xfId="0" applyFont="1"/>
    <xf numFmtId="173" fontId="0" fillId="0" borderId="0" xfId="0" applyNumberFormat="1"/>
    <xf numFmtId="173" fontId="2" fillId="2" borderId="0" xfId="0" applyNumberFormat="1" applyFont="1" applyFill="1"/>
    <xf numFmtId="0" fontId="0"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eetMetadata" Target="metadata.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DA1F8E-0397-4C64-99B7-9644D361D349}">
  <dimension ref="A1:U131"/>
  <sheetViews>
    <sheetView tabSelected="1" topLeftCell="A112" workbookViewId="0">
      <selection activeCell="I126" sqref="I126"/>
    </sheetView>
  </sheetViews>
  <sheetFormatPr defaultRowHeight="14.4" x14ac:dyDescent="0.3"/>
  <cols>
    <col min="3" max="3" width="11.44140625" bestFit="1" customWidth="1"/>
  </cols>
  <sheetData>
    <row r="1" spans="1:16" x14ac:dyDescent="0.3">
      <c r="A1" s="3" t="s">
        <v>0</v>
      </c>
      <c r="B1" s="3"/>
      <c r="C1" s="3"/>
      <c r="D1" s="3"/>
      <c r="E1" s="3"/>
      <c r="F1" s="3"/>
      <c r="G1" s="3"/>
      <c r="H1" s="3"/>
      <c r="I1" s="3"/>
      <c r="J1" s="3"/>
      <c r="K1" s="3"/>
      <c r="L1" s="3"/>
      <c r="M1" s="3"/>
      <c r="N1" s="3"/>
      <c r="O1" s="3"/>
      <c r="P1" s="3"/>
    </row>
    <row r="3" spans="1:16" x14ac:dyDescent="0.3">
      <c r="A3" t="s">
        <v>4</v>
      </c>
      <c r="C3" s="2" t="s">
        <v>3</v>
      </c>
      <c r="D3" s="2">
        <f>AVERAGE(10,12,11,15,14,13,12)</f>
        <v>12.428571428571429</v>
      </c>
    </row>
    <row r="5" spans="1:16" x14ac:dyDescent="0.3">
      <c r="B5" t="s">
        <v>2</v>
      </c>
    </row>
    <row r="8" spans="1:16" x14ac:dyDescent="0.3">
      <c r="A8" s="4" t="s">
        <v>5</v>
      </c>
      <c r="B8" s="3"/>
      <c r="C8" s="3"/>
      <c r="D8" s="3"/>
      <c r="E8" s="3"/>
      <c r="F8" s="3"/>
      <c r="G8" s="3"/>
      <c r="H8" s="3"/>
      <c r="I8" s="3"/>
      <c r="J8" s="3"/>
      <c r="K8" s="3"/>
      <c r="L8" s="3"/>
      <c r="M8" s="3"/>
      <c r="N8" s="3"/>
      <c r="O8" s="3"/>
      <c r="P8" s="3"/>
    </row>
    <row r="10" spans="1:16" x14ac:dyDescent="0.3">
      <c r="A10" t="s">
        <v>1</v>
      </c>
      <c r="C10" s="2" t="s">
        <v>3</v>
      </c>
      <c r="D10" s="2">
        <f>AVERAGE(12,15,14,16,18,20,19)</f>
        <v>16.285714285714285</v>
      </c>
    </row>
    <row r="12" spans="1:16" x14ac:dyDescent="0.3">
      <c r="C12" t="s">
        <v>7</v>
      </c>
    </row>
    <row r="15" spans="1:16" x14ac:dyDescent="0.3">
      <c r="A15" s="4" t="s">
        <v>8</v>
      </c>
      <c r="B15" s="3"/>
      <c r="C15" s="3"/>
      <c r="D15" s="3"/>
      <c r="E15" s="3"/>
      <c r="F15" s="3"/>
      <c r="G15" s="3"/>
      <c r="H15" s="3"/>
      <c r="I15" s="3"/>
      <c r="J15" s="3"/>
      <c r="K15" s="3"/>
      <c r="L15" s="3"/>
      <c r="M15" s="3"/>
      <c r="N15" s="3"/>
    </row>
    <row r="17" spans="1:21" x14ac:dyDescent="0.3">
      <c r="A17" t="s">
        <v>1</v>
      </c>
      <c r="B17" s="2" t="s">
        <v>9</v>
      </c>
      <c r="C17" s="2" cm="1">
        <f t="array" ref="C17">_xlfn.MODE.MULT(7,8,9,8,8,10,7,9)</f>
        <v>8</v>
      </c>
    </row>
    <row r="19" spans="1:21" x14ac:dyDescent="0.3">
      <c r="B19" t="s">
        <v>10</v>
      </c>
    </row>
    <row r="22" spans="1:21" x14ac:dyDescent="0.3">
      <c r="A22" s="4" t="s">
        <v>11</v>
      </c>
      <c r="B22" s="3"/>
      <c r="C22" s="3"/>
      <c r="D22" s="3"/>
      <c r="E22" s="3"/>
      <c r="F22" s="3"/>
      <c r="G22" s="3"/>
      <c r="H22" s="3"/>
      <c r="I22" s="3"/>
      <c r="J22" s="3"/>
      <c r="K22" s="3"/>
      <c r="L22" s="3"/>
      <c r="M22" s="3"/>
      <c r="N22" s="3"/>
      <c r="O22" s="3"/>
      <c r="P22" s="3"/>
      <c r="Q22" s="3"/>
    </row>
    <row r="24" spans="1:21" x14ac:dyDescent="0.3">
      <c r="A24" t="s">
        <v>1</v>
      </c>
      <c r="B24" t="s">
        <v>6</v>
      </c>
      <c r="C24" s="6">
        <v>8000</v>
      </c>
    </row>
    <row r="25" spans="1:21" x14ac:dyDescent="0.3">
      <c r="C25" s="6">
        <v>9500</v>
      </c>
    </row>
    <row r="26" spans="1:21" x14ac:dyDescent="0.3">
      <c r="C26" s="6">
        <v>10200</v>
      </c>
    </row>
    <row r="27" spans="1:21" x14ac:dyDescent="0.3">
      <c r="C27" s="6">
        <v>11000</v>
      </c>
    </row>
    <row r="28" spans="1:21" x14ac:dyDescent="0.3">
      <c r="C28" s="6">
        <v>50000</v>
      </c>
    </row>
    <row r="30" spans="1:21" x14ac:dyDescent="0.3">
      <c r="B30" s="2" t="s">
        <v>12</v>
      </c>
      <c r="C30" s="7">
        <f>MEDIAN(C24:C28)</f>
        <v>10200</v>
      </c>
    </row>
    <row r="31" spans="1:21" x14ac:dyDescent="0.3">
      <c r="B31" s="5"/>
      <c r="C31" s="5"/>
    </row>
    <row r="32" spans="1:21" x14ac:dyDescent="0.3">
      <c r="B32" s="8" t="s">
        <v>13</v>
      </c>
      <c r="C32" s="8"/>
      <c r="D32" s="8"/>
      <c r="E32" s="8"/>
      <c r="F32" s="8"/>
      <c r="G32" s="8"/>
      <c r="H32" s="8"/>
      <c r="I32" s="8"/>
      <c r="J32" s="8"/>
      <c r="K32" s="8"/>
      <c r="L32" s="8"/>
      <c r="M32" s="8"/>
      <c r="N32" s="8"/>
      <c r="O32" s="8"/>
      <c r="P32" s="8"/>
      <c r="Q32" s="8"/>
      <c r="R32" s="8"/>
      <c r="S32" s="8"/>
      <c r="T32" s="8"/>
      <c r="U32" s="8"/>
    </row>
    <row r="34" spans="1:16" x14ac:dyDescent="0.3">
      <c r="A34" s="4" t="s">
        <v>14</v>
      </c>
      <c r="B34" s="3"/>
      <c r="C34" s="3"/>
      <c r="D34" s="3"/>
      <c r="E34" s="3"/>
      <c r="F34" s="3"/>
      <c r="G34" s="3"/>
      <c r="H34" s="3"/>
      <c r="I34" s="3"/>
      <c r="J34" s="3"/>
      <c r="K34" s="3"/>
      <c r="L34" s="3"/>
      <c r="M34" s="3"/>
      <c r="N34" s="3"/>
      <c r="O34" s="3"/>
      <c r="P34" s="3"/>
    </row>
    <row r="36" spans="1:16" x14ac:dyDescent="0.3">
      <c r="A36" t="s">
        <v>1</v>
      </c>
      <c r="B36" t="s">
        <v>16</v>
      </c>
      <c r="D36">
        <v>40</v>
      </c>
    </row>
    <row r="37" spans="1:16" x14ac:dyDescent="0.3">
      <c r="B37" t="s">
        <v>17</v>
      </c>
      <c r="D37">
        <v>25</v>
      </c>
    </row>
    <row r="39" spans="1:16" x14ac:dyDescent="0.3">
      <c r="B39" t="s">
        <v>15</v>
      </c>
    </row>
    <row r="41" spans="1:16" x14ac:dyDescent="0.3">
      <c r="B41" s="2" t="s">
        <v>18</v>
      </c>
      <c r="C41" s="2">
        <f>D36-D37</f>
        <v>15</v>
      </c>
    </row>
    <row r="43" spans="1:16" x14ac:dyDescent="0.3">
      <c r="B43" t="s">
        <v>19</v>
      </c>
    </row>
    <row r="46" spans="1:16" x14ac:dyDescent="0.3">
      <c r="A46" s="3" t="s">
        <v>20</v>
      </c>
      <c r="B46" s="3"/>
      <c r="C46" s="3"/>
      <c r="D46" s="3"/>
      <c r="E46" s="3"/>
      <c r="F46" s="3"/>
      <c r="G46" s="3"/>
      <c r="H46" s="3"/>
      <c r="I46" s="3"/>
      <c r="J46" s="3"/>
      <c r="K46" s="3"/>
      <c r="L46" s="3"/>
      <c r="M46" s="3"/>
      <c r="N46" s="3"/>
      <c r="O46" s="3"/>
    </row>
    <row r="48" spans="1:16" x14ac:dyDescent="0.3">
      <c r="A48" t="s">
        <v>1</v>
      </c>
      <c r="B48" t="s">
        <v>21</v>
      </c>
      <c r="D48">
        <v>120</v>
      </c>
    </row>
    <row r="49" spans="1:15" x14ac:dyDescent="0.3">
      <c r="B49" t="s">
        <v>22</v>
      </c>
      <c r="D49">
        <v>98</v>
      </c>
    </row>
    <row r="51" spans="1:15" x14ac:dyDescent="0.3">
      <c r="B51" s="2" t="s">
        <v>18</v>
      </c>
      <c r="C51" s="2">
        <f>D48-D49</f>
        <v>22</v>
      </c>
      <c r="D51" s="2" t="s">
        <v>23</v>
      </c>
    </row>
    <row r="53" spans="1:15" x14ac:dyDescent="0.3">
      <c r="B53" t="s">
        <v>24</v>
      </c>
    </row>
    <row r="56" spans="1:15" x14ac:dyDescent="0.3">
      <c r="A56" s="3" t="s">
        <v>25</v>
      </c>
      <c r="B56" s="3"/>
      <c r="C56" s="3"/>
      <c r="D56" s="3"/>
      <c r="E56" s="3"/>
      <c r="F56" s="3"/>
      <c r="G56" s="3"/>
      <c r="H56" s="3"/>
      <c r="I56" s="3"/>
      <c r="J56" s="3"/>
      <c r="K56" s="3"/>
      <c r="L56" s="3"/>
      <c r="M56" s="3"/>
      <c r="N56" s="3"/>
      <c r="O56" s="3"/>
    </row>
    <row r="58" spans="1:15" x14ac:dyDescent="0.3">
      <c r="A58" t="s">
        <v>1</v>
      </c>
      <c r="B58" t="s">
        <v>26</v>
      </c>
    </row>
    <row r="60" spans="1:15" x14ac:dyDescent="0.3">
      <c r="B60" t="s">
        <v>27</v>
      </c>
    </row>
    <row r="62" spans="1:15" x14ac:dyDescent="0.3">
      <c r="B62" s="5" t="s">
        <v>28</v>
      </c>
    </row>
    <row r="64" spans="1:15" x14ac:dyDescent="0.3">
      <c r="B64" t="s">
        <v>29</v>
      </c>
    </row>
    <row r="66" spans="1:18" x14ac:dyDescent="0.3">
      <c r="B66" s="1" t="s">
        <v>30</v>
      </c>
      <c r="C66" s="1"/>
      <c r="D66" s="1"/>
      <c r="E66" s="1"/>
      <c r="F66" s="1"/>
      <c r="G66" s="1"/>
      <c r="H66" s="1"/>
      <c r="I66" s="1"/>
      <c r="J66" s="1"/>
      <c r="K66" s="1"/>
      <c r="L66" s="1"/>
      <c r="M66" s="1"/>
      <c r="N66" s="1"/>
    </row>
    <row r="69" spans="1:18" x14ac:dyDescent="0.3">
      <c r="A69" s="4" t="s">
        <v>31</v>
      </c>
      <c r="B69" s="3"/>
      <c r="C69" s="3"/>
      <c r="D69" s="3"/>
      <c r="E69" s="3"/>
      <c r="F69" s="3"/>
      <c r="G69" s="3"/>
      <c r="H69" s="3"/>
      <c r="I69" s="3"/>
      <c r="J69" s="3"/>
      <c r="K69" s="3"/>
      <c r="L69" s="3"/>
      <c r="M69" s="3"/>
      <c r="N69" s="3"/>
      <c r="O69" s="3"/>
      <c r="P69" s="3"/>
      <c r="Q69" s="3"/>
      <c r="R69" s="3"/>
    </row>
    <row r="71" spans="1:18" x14ac:dyDescent="0.3">
      <c r="A71" t="s">
        <v>4</v>
      </c>
      <c r="B71" t="s">
        <v>32</v>
      </c>
    </row>
    <row r="73" spans="1:18" x14ac:dyDescent="0.3">
      <c r="B73" t="s">
        <v>33</v>
      </c>
    </row>
    <row r="75" spans="1:18" x14ac:dyDescent="0.3">
      <c r="B75" s="5" t="s">
        <v>34</v>
      </c>
    </row>
    <row r="77" spans="1:18" x14ac:dyDescent="0.3">
      <c r="B77" t="s">
        <v>35</v>
      </c>
    </row>
    <row r="79" spans="1:18" x14ac:dyDescent="0.3">
      <c r="B79" s="2" t="s">
        <v>36</v>
      </c>
      <c r="C79" s="2"/>
      <c r="D79" s="2"/>
      <c r="E79" s="2"/>
      <c r="F79" s="2"/>
      <c r="G79" s="2"/>
      <c r="H79" s="2"/>
      <c r="I79" s="2"/>
      <c r="J79" s="2"/>
      <c r="K79" s="2"/>
      <c r="L79" s="2"/>
      <c r="M79" s="2"/>
      <c r="N79" s="2"/>
      <c r="O79" s="2"/>
    </row>
    <row r="82" spans="1:19" x14ac:dyDescent="0.3">
      <c r="A82" s="4" t="s">
        <v>37</v>
      </c>
      <c r="B82" s="3"/>
      <c r="C82" s="3"/>
      <c r="D82" s="3"/>
      <c r="E82" s="3"/>
      <c r="F82" s="3"/>
      <c r="G82" s="3"/>
      <c r="H82" s="3"/>
      <c r="I82" s="3"/>
      <c r="J82" s="3"/>
      <c r="K82" s="3"/>
      <c r="L82" s="3"/>
      <c r="M82" s="3"/>
      <c r="N82" s="3"/>
      <c r="O82" s="3"/>
      <c r="P82" s="3"/>
      <c r="Q82" s="3"/>
      <c r="R82" s="3"/>
      <c r="S82" s="3"/>
    </row>
    <row r="84" spans="1:19" x14ac:dyDescent="0.3">
      <c r="A84" t="s">
        <v>1</v>
      </c>
      <c r="B84" t="s">
        <v>6</v>
      </c>
      <c r="C84">
        <v>400</v>
      </c>
    </row>
    <row r="85" spans="1:19" x14ac:dyDescent="0.3">
      <c r="C85">
        <v>420</v>
      </c>
    </row>
    <row r="86" spans="1:19" x14ac:dyDescent="0.3">
      <c r="C86">
        <v>390</v>
      </c>
    </row>
    <row r="87" spans="1:19" x14ac:dyDescent="0.3">
      <c r="C87">
        <v>450</v>
      </c>
    </row>
    <row r="88" spans="1:19" x14ac:dyDescent="0.3">
      <c r="C88">
        <v>410</v>
      </c>
    </row>
    <row r="90" spans="1:19" x14ac:dyDescent="0.3">
      <c r="B90" s="2" t="s">
        <v>3</v>
      </c>
      <c r="C90" s="2">
        <f>AVERAGE(C84:C88)</f>
        <v>414</v>
      </c>
      <c r="D90" s="2" t="s">
        <v>38</v>
      </c>
    </row>
    <row r="92" spans="1:19" x14ac:dyDescent="0.3">
      <c r="B92" s="2" t="s">
        <v>39</v>
      </c>
      <c r="C92" s="2"/>
      <c r="D92" s="2">
        <f>_xlfn.STDEV.P(C84:C88)</f>
        <v>20.591260281974002</v>
      </c>
      <c r="E92" s="2" t="s">
        <v>38</v>
      </c>
    </row>
    <row r="94" spans="1:19" x14ac:dyDescent="0.3">
      <c r="B94" t="s">
        <v>40</v>
      </c>
    </row>
    <row r="96" spans="1:19" x14ac:dyDescent="0.3">
      <c r="B96" t="s">
        <v>41</v>
      </c>
    </row>
    <row r="98" spans="1:21" x14ac:dyDescent="0.3">
      <c r="B98" t="s">
        <v>42</v>
      </c>
    </row>
    <row r="101" spans="1:21" x14ac:dyDescent="0.3">
      <c r="A101" s="3" t="s">
        <v>43</v>
      </c>
      <c r="B101" s="3"/>
      <c r="C101" s="3"/>
      <c r="D101" s="3"/>
      <c r="E101" s="3"/>
      <c r="F101" s="3"/>
      <c r="G101" s="3"/>
      <c r="H101" s="3"/>
      <c r="I101" s="3"/>
      <c r="J101" s="3"/>
      <c r="K101" s="3"/>
      <c r="L101" s="3"/>
      <c r="M101" s="3"/>
      <c r="N101" s="3"/>
      <c r="O101" s="3"/>
      <c r="P101" s="3"/>
      <c r="Q101" s="3"/>
      <c r="R101" s="3"/>
      <c r="S101" s="3"/>
      <c r="T101" s="3"/>
      <c r="U101" s="3"/>
    </row>
    <row r="103" spans="1:21" x14ac:dyDescent="0.3">
      <c r="A103" t="s">
        <v>1</v>
      </c>
      <c r="B103" t="s">
        <v>6</v>
      </c>
      <c r="C103">
        <v>15</v>
      </c>
    </row>
    <row r="104" spans="1:21" x14ac:dyDescent="0.3">
      <c r="C104">
        <v>18</v>
      </c>
    </row>
    <row r="105" spans="1:21" x14ac:dyDescent="0.3">
      <c r="C105">
        <v>20</v>
      </c>
    </row>
    <row r="106" spans="1:21" x14ac:dyDescent="0.3">
      <c r="C106">
        <v>22</v>
      </c>
    </row>
    <row r="107" spans="1:21" x14ac:dyDescent="0.3">
      <c r="C107">
        <v>25</v>
      </c>
    </row>
    <row r="108" spans="1:21" x14ac:dyDescent="0.3">
      <c r="C108">
        <v>17</v>
      </c>
    </row>
    <row r="109" spans="1:21" x14ac:dyDescent="0.3">
      <c r="C109">
        <v>19</v>
      </c>
    </row>
    <row r="110" spans="1:21" x14ac:dyDescent="0.3">
      <c r="C110">
        <v>21</v>
      </c>
    </row>
    <row r="113" spans="2:7" x14ac:dyDescent="0.3">
      <c r="B113" s="2" t="s">
        <v>3</v>
      </c>
      <c r="C113" s="2">
        <f>AVERAGE(C103:C110)</f>
        <v>19.625</v>
      </c>
      <c r="D113" s="5"/>
      <c r="E113" s="5"/>
      <c r="F113" s="5"/>
      <c r="G113" s="5"/>
    </row>
    <row r="114" spans="2:7" x14ac:dyDescent="0.3">
      <c r="B114" s="5"/>
      <c r="C114" s="5"/>
      <c r="D114" s="5"/>
      <c r="E114" s="5"/>
      <c r="F114" s="5"/>
      <c r="G114" s="5"/>
    </row>
    <row r="115" spans="2:7" x14ac:dyDescent="0.3">
      <c r="B115" s="2" t="s">
        <v>12</v>
      </c>
      <c r="C115" s="2">
        <f>MEDIAN(C103:C110)</f>
        <v>19.5</v>
      </c>
      <c r="D115" s="5"/>
      <c r="E115" s="5"/>
      <c r="F115" s="5"/>
      <c r="G115" s="5"/>
    </row>
    <row r="116" spans="2:7" x14ac:dyDescent="0.3">
      <c r="B116" s="5"/>
      <c r="C116" s="5"/>
      <c r="D116" s="5"/>
      <c r="E116" s="5"/>
      <c r="F116" s="5"/>
      <c r="G116" s="5"/>
    </row>
    <row r="117" spans="2:7" x14ac:dyDescent="0.3">
      <c r="B117" s="2" t="s">
        <v>44</v>
      </c>
      <c r="C117" s="2" t="e" cm="1">
        <f t="array" ref="C117">_xlfn.MODE.MULT(C103:C110)</f>
        <v>#N/A</v>
      </c>
      <c r="D117" s="2" t="s">
        <v>45</v>
      </c>
      <c r="E117" s="2"/>
      <c r="F117" s="2"/>
      <c r="G117" s="2"/>
    </row>
    <row r="118" spans="2:7" x14ac:dyDescent="0.3">
      <c r="B118" s="5"/>
      <c r="C118" s="5"/>
      <c r="D118" s="5"/>
      <c r="E118" s="5"/>
      <c r="F118" s="5"/>
      <c r="G118" s="5"/>
    </row>
    <row r="119" spans="2:7" x14ac:dyDescent="0.3">
      <c r="B119" s="2" t="s">
        <v>46</v>
      </c>
      <c r="C119" s="2">
        <f>C107-C103</f>
        <v>10</v>
      </c>
      <c r="D119" s="5"/>
      <c r="E119" s="5"/>
      <c r="F119" s="5"/>
      <c r="G119" s="5"/>
    </row>
    <row r="120" spans="2:7" x14ac:dyDescent="0.3">
      <c r="B120" s="5"/>
      <c r="C120" s="5"/>
      <c r="D120" s="5"/>
      <c r="E120" s="5"/>
      <c r="F120" s="5"/>
      <c r="G120" s="5"/>
    </row>
    <row r="121" spans="2:7" x14ac:dyDescent="0.3">
      <c r="B121" s="2" t="s">
        <v>47</v>
      </c>
      <c r="C121" s="2">
        <f>_xlfn.STDEV.P(C103:C110)</f>
        <v>2.912795049432761</v>
      </c>
      <c r="D121" s="5"/>
      <c r="E121" s="5"/>
      <c r="F121" s="5"/>
      <c r="G121" s="5"/>
    </row>
    <row r="123" spans="2:7" x14ac:dyDescent="0.3">
      <c r="B123" t="s">
        <v>48</v>
      </c>
    </row>
    <row r="125" spans="2:7" x14ac:dyDescent="0.3">
      <c r="B125" t="s">
        <v>49</v>
      </c>
    </row>
    <row r="127" spans="2:7" x14ac:dyDescent="0.3">
      <c r="B127" s="5" t="s">
        <v>50</v>
      </c>
    </row>
    <row r="129" spans="2:2" x14ac:dyDescent="0.3">
      <c r="B129" t="s">
        <v>51</v>
      </c>
    </row>
    <row r="131" spans="2:2" x14ac:dyDescent="0.3">
      <c r="B131" t="s">
        <v>52</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Tarun Singh</dc:creator>
  <cp:lastModifiedBy>Tarun Singh</cp:lastModifiedBy>
  <dcterms:created xsi:type="dcterms:W3CDTF">2025-12-27T15:21:12Z</dcterms:created>
  <dcterms:modified xsi:type="dcterms:W3CDTF">2025-12-27T16:23:56Z</dcterms:modified>
</cp:coreProperties>
</file>