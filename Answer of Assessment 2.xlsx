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https://d.docs.live.net/00c12e78e3b0be58/Documents/"/>
    </mc:Choice>
  </mc:AlternateContent>
  <xr:revisionPtr revIDLastSave="331" documentId="8_{71EE121C-E6F5-4FFE-A44A-46D217F894BD}" xr6:coauthVersionLast="47" xr6:coauthVersionMax="47" xr10:uidLastSave="{A8A6A789-5D79-45E4-8B13-D8A5AC9B1940}"/>
  <bookViews>
    <workbookView xWindow="-108" yWindow="-108" windowWidth="23256" windowHeight="12456" xr2:uid="{70D5865F-F6D2-431D-9107-17981EC1F312}"/>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23" i="1" l="1"/>
  <c r="D111" i="1"/>
  <c r="F128" i="1"/>
  <c r="F129" i="1"/>
  <c r="F127" i="1"/>
  <c r="F126" i="1"/>
  <c r="E113" i="1"/>
  <c r="C146" i="1"/>
  <c r="G144" i="1"/>
  <c r="G141" i="1"/>
  <c r="G139" i="1"/>
  <c r="E115" i="1"/>
  <c r="E100" i="1"/>
  <c r="E98" i="1"/>
  <c r="E96" i="1"/>
  <c r="E94" i="1"/>
  <c r="E92" i="1"/>
  <c r="M53" i="1"/>
  <c r="M51" i="1"/>
  <c r="M49" i="1"/>
  <c r="L47" i="1"/>
  <c r="L45" i="1"/>
</calcChain>
</file>

<file path=xl/sharedStrings.xml><?xml version="1.0" encoding="utf-8"?>
<sst xmlns="http://schemas.openxmlformats.org/spreadsheetml/2006/main" count="153" uniqueCount="130">
  <si>
    <t>Q.1- What is data cleaning, and why is it important in data analysis? What are the potential consequences of analyzing unclean or messy data? Explain the common steps involved in cleaning and organizing data.</t>
  </si>
  <si>
    <t>Answer-</t>
  </si>
  <si>
    <r>
      <rPr>
        <sz val="12"/>
        <color theme="1"/>
        <rFont val="Aptos Narrow"/>
        <family val="2"/>
        <scheme val="minor"/>
      </rPr>
      <t>Data cleaning is the process of finding and fixing errors in data so that it becomes accurate, complete, and consistent. It includes correcting wrong values, removing duplicates, handling missing data, and organizing data properly</t>
    </r>
    <r>
      <rPr>
        <sz val="11"/>
        <color theme="1"/>
        <rFont val="Aptos Narrow"/>
        <family val="2"/>
        <scheme val="minor"/>
      </rPr>
      <t>.</t>
    </r>
  </si>
  <si>
    <r>
      <rPr>
        <sz val="12"/>
        <color theme="1"/>
        <rFont val="Aptos Narrow"/>
        <family val="2"/>
        <scheme val="minor"/>
      </rPr>
      <t xml:space="preserve">It is important in data analysis because </t>
    </r>
    <r>
      <rPr>
        <b/>
        <sz val="12"/>
        <color theme="1"/>
        <rFont val="Aptos Narrow"/>
        <family val="2"/>
        <scheme val="minor"/>
      </rPr>
      <t>analysis is only as good as the data used</t>
    </r>
    <r>
      <rPr>
        <sz val="12"/>
        <color theme="1"/>
        <rFont val="Aptos Narrow"/>
        <family val="2"/>
        <scheme val="minor"/>
      </rPr>
      <t>. Clean data ensures-</t>
    </r>
    <r>
      <rPr>
        <b/>
        <sz val="12"/>
        <color theme="1"/>
        <rFont val="Aptos Narrow"/>
        <family val="2"/>
        <scheme val="minor"/>
      </rPr>
      <t xml:space="preserve"> Correct results and insights,Reliable decision-making, Better predictions and reports, Less confusion and fewer errors during analysis.</t>
    </r>
  </si>
  <si>
    <t>Analyzing messy data can cause many problems, such as:</t>
  </si>
  <si>
    <t>1. Wrong conclusions – Incorrect data leads to incorrect results</t>
  </si>
  <si>
    <t>2.Poor business decisions – Decisions based on wrong insights can cause losses</t>
  </si>
  <si>
    <t>3.Misleading reports – Stakeholders may lose trust in the analysis</t>
  </si>
  <si>
    <t xml:space="preserve"> 4.Wasted time and effort – Analysts spend more time fixing mistakes later</t>
  </si>
  <si>
    <t>5. Inaccurate predictions – Forecasts and trends become unreliable</t>
  </si>
  <si>
    <t>Potential consequences of analyzing unclean or messy data-</t>
  </si>
  <si>
    <t>Steps involved in cleaning and organizing data.</t>
  </si>
  <si>
    <t>2. Handling Missing Values</t>
  </si>
  <si>
    <t>1. Removing Duplicate Data</t>
  </si>
  <si>
    <t xml:space="preserve"> 3. Correcting Errors and Inconsistencies</t>
  </si>
  <si>
    <t>4. Standardizing Data-Keep data in a common format</t>
  </si>
  <si>
    <t>6. Organizing and Formatting Data-Sort and structure data for easy analysis.</t>
  </si>
  <si>
    <t>5. Removing Outliers-Identify extremely high or low values that don’t make sense.</t>
  </si>
  <si>
    <t>Q.2-How would you sort the following dataset first by "Department" (A-Z) and then by "Salary" (Largest to Smallest)? Write a step-by-step approach.</t>
  </si>
  <si>
    <t>Employee</t>
  </si>
  <si>
    <t>Department</t>
  </si>
  <si>
    <t>Salary</t>
  </si>
  <si>
    <t>Sonu</t>
  </si>
  <si>
    <t>Pranav</t>
  </si>
  <si>
    <t>Rahul</t>
  </si>
  <si>
    <t>IT</t>
  </si>
  <si>
    <t>HR</t>
  </si>
  <si>
    <t>2. Click on Sort and filter, Select Custom sort</t>
  </si>
  <si>
    <t xml:space="preserve">Steps involved in sorting the salary-  1.Select the table. </t>
  </si>
  <si>
    <r>
      <t xml:space="preserve">3. In </t>
    </r>
    <r>
      <rPr>
        <b/>
        <sz val="12"/>
        <color theme="1"/>
        <rFont val="Aptos Narrow"/>
        <family val="2"/>
        <scheme val="minor"/>
      </rPr>
      <t>sort by, Select - department, Sort on- Cell Values, Order- A-Z</t>
    </r>
  </si>
  <si>
    <t>5. Click on Sort and press Enter.</t>
  </si>
  <si>
    <r>
      <t xml:space="preserve">4. </t>
    </r>
    <r>
      <rPr>
        <b/>
        <sz val="12"/>
        <color theme="1"/>
        <rFont val="Aptos Narrow"/>
        <family val="2"/>
        <scheme val="minor"/>
      </rPr>
      <t>Then by, Salary, Sort on- Cell Values, Order- Largest to Smallest.</t>
    </r>
  </si>
  <si>
    <t>Q.3- Explain the use of text functions such as TRIM , LEFT, RIGHT, MID, and CONCAT in data cleaning.</t>
  </si>
  <si>
    <t>Ans-</t>
  </si>
  <si>
    <t>TRIM- The function Trim is used to remove the extra spaces from text.</t>
  </si>
  <si>
    <t>LEFT- The function left is used to extract text from the left side of a cell.</t>
  </si>
  <si>
    <t>RIGHT - The function Right is used to extract text from the right side of a cell.</t>
  </si>
  <si>
    <t>MID– The function Mid is used to extract text from the middle of a cell.</t>
  </si>
  <si>
    <t>CONCAT – Concat function is used to join two or more text values into one.</t>
  </si>
  <si>
    <t>Example-</t>
  </si>
  <si>
    <t xml:space="preserve"> Physics  Wallah</t>
  </si>
  <si>
    <t xml:space="preserve">Example- </t>
  </si>
  <si>
    <t>Phyiscs Wallah</t>
  </si>
  <si>
    <t>Ram Mohan Singh</t>
  </si>
  <si>
    <t>Physics</t>
  </si>
  <si>
    <t>Wallah</t>
  </si>
  <si>
    <t>Q.4-What is the role of date functions like TODAY in managing datasets?</t>
  </si>
  <si>
    <r>
      <t xml:space="preserve">Date functions like </t>
    </r>
    <r>
      <rPr>
        <b/>
        <sz val="12"/>
        <color theme="1"/>
        <rFont val="Arial Unicode MS"/>
      </rPr>
      <t>TODAY()</t>
    </r>
    <r>
      <rPr>
        <b/>
        <sz val="12"/>
        <color theme="1"/>
        <rFont val="Aptos Narrow"/>
        <family val="2"/>
        <scheme val="minor"/>
      </rPr>
      <t xml:space="preserve"> play an important role in managing datasets by working with current dates automatically.</t>
    </r>
  </si>
  <si>
    <r>
      <t>1. TODAY()</t>
    </r>
    <r>
      <rPr>
        <sz val="12"/>
        <color theme="1"/>
        <rFont val="Aptos Narrow"/>
        <family val="2"/>
        <scheme val="minor"/>
      </rPr>
      <t xml:space="preserve"> returns the </t>
    </r>
    <r>
      <rPr>
        <b/>
        <sz val="12"/>
        <color theme="1"/>
        <rFont val="Aptos Narrow"/>
        <family val="2"/>
        <scheme val="minor"/>
      </rPr>
      <t>current date</t>
    </r>
    <r>
      <rPr>
        <sz val="12"/>
        <color theme="1"/>
        <rFont val="Aptos Narrow"/>
        <family val="2"/>
        <scheme val="minor"/>
      </rPr>
      <t xml:space="preserve"> and updates automatically each day.</t>
    </r>
  </si>
  <si>
    <r>
      <t xml:space="preserve">2. It helps in </t>
    </r>
    <r>
      <rPr>
        <b/>
        <sz val="12"/>
        <color theme="1"/>
        <rFont val="Aptos Narrow"/>
        <family val="2"/>
        <scheme val="minor"/>
      </rPr>
      <t>tracking deadlines</t>
    </r>
    <r>
      <rPr>
        <sz val="12"/>
        <color theme="1"/>
        <rFont val="Aptos Narrow"/>
        <family val="2"/>
        <scheme val="minor"/>
      </rPr>
      <t xml:space="preserve">, </t>
    </r>
    <r>
      <rPr>
        <b/>
        <sz val="12"/>
        <color theme="1"/>
        <rFont val="Aptos Narrow"/>
        <family val="2"/>
        <scheme val="minor"/>
      </rPr>
      <t>calculating age of data</t>
    </r>
    <r>
      <rPr>
        <sz val="12"/>
        <color theme="1"/>
        <rFont val="Aptos Narrow"/>
        <family val="2"/>
        <scheme val="minor"/>
      </rPr>
      <t xml:space="preserve">, and </t>
    </r>
    <r>
      <rPr>
        <b/>
        <sz val="12"/>
        <color theme="1"/>
        <rFont val="Aptos Narrow"/>
        <family val="2"/>
        <scheme val="minor"/>
      </rPr>
      <t>monitoring delays</t>
    </r>
    <r>
      <rPr>
        <sz val="12"/>
        <color theme="1"/>
        <rFont val="Aptos Narrow"/>
        <family val="2"/>
        <scheme val="minor"/>
      </rPr>
      <t>.</t>
    </r>
  </si>
  <si>
    <r>
      <t xml:space="preserve">3. Used to </t>
    </r>
    <r>
      <rPr>
        <b/>
        <sz val="12"/>
        <color theme="1"/>
        <rFont val="Aptos Narrow"/>
        <family val="2"/>
        <scheme val="minor"/>
      </rPr>
      <t>find how many days have passed</t>
    </r>
    <r>
      <rPr>
        <sz val="12"/>
        <color theme="1"/>
        <rFont val="Aptos Narrow"/>
        <family val="2"/>
        <scheme val="minor"/>
      </rPr>
      <t xml:space="preserve"> since a task, order, or event.</t>
    </r>
  </si>
  <si>
    <r>
      <t xml:space="preserve">4. Helps in </t>
    </r>
    <r>
      <rPr>
        <b/>
        <sz val="12"/>
        <color theme="1"/>
        <rFont val="Aptos Narrow"/>
        <family val="2"/>
        <scheme val="minor"/>
      </rPr>
      <t>filtering recent or overdue records</t>
    </r>
    <r>
      <rPr>
        <sz val="12"/>
        <color theme="1"/>
        <rFont val="Aptos Narrow"/>
        <family val="2"/>
        <scheme val="minor"/>
      </rPr>
      <t>.</t>
    </r>
  </si>
  <si>
    <r>
      <t xml:space="preserve">5. Useful for </t>
    </r>
    <r>
      <rPr>
        <b/>
        <sz val="12"/>
        <color theme="1"/>
        <rFont val="Aptos Narrow"/>
        <family val="2"/>
        <scheme val="minor"/>
      </rPr>
      <t>reports that need daily updates</t>
    </r>
    <r>
      <rPr>
        <sz val="12"/>
        <color theme="1"/>
        <rFont val="Aptos Narrow"/>
        <family val="2"/>
        <scheme val="minor"/>
      </rPr>
      <t xml:space="preserve"> without manual date entry.</t>
    </r>
  </si>
  <si>
    <t>Q.5-Apply Data Validation to restrict Quantity values to only whole numbers between 1 and 10.</t>
  </si>
  <si>
    <t>(a) Configure an input message that appears when a user selects a cell in the "Quantity" column explaining:_x000B_ "Please enter a whole number between 1 and 10."</t>
  </si>
  <si>
    <t>(b) Set up an error alert message that triggers if the user enters a number less than 1 or greater than 10, showing:</t>
  </si>
  <si>
    <t>"Invalid input! The quantity must be a whole number between 1 and 10."</t>
  </si>
  <si>
    <t>Customer Name</t>
  </si>
  <si>
    <t>Product Name</t>
  </si>
  <si>
    <t>Quantity</t>
  </si>
  <si>
    <t>Category</t>
  </si>
  <si>
    <t>Unit Price</t>
  </si>
  <si>
    <t>Jane Smith</t>
  </si>
  <si>
    <t>Isabella Moore</t>
  </si>
  <si>
    <t>Daniel Davis</t>
  </si>
  <si>
    <t>Alex Moore</t>
  </si>
  <si>
    <t>Michael Johnson</t>
  </si>
  <si>
    <t>Daniel Johnson</t>
  </si>
  <si>
    <t>Isabella Davis</t>
  </si>
  <si>
    <t>Jane Davis</t>
  </si>
  <si>
    <t>Alex Wilson</t>
  </si>
  <si>
    <t>Shoes</t>
  </si>
  <si>
    <t>Laptop</t>
  </si>
  <si>
    <t>Sofa</t>
  </si>
  <si>
    <t>Table Lamp</t>
  </si>
  <si>
    <t>Backpack</t>
  </si>
  <si>
    <t>Headphones</t>
  </si>
  <si>
    <t>T-shirt</t>
  </si>
  <si>
    <t>Electronics</t>
  </si>
  <si>
    <t>Clothing</t>
  </si>
  <si>
    <t>Home Decor</t>
  </si>
  <si>
    <t>Q.6- Understand and apply fundamental text functions like LEFT, RIGHT, MID, and LEN</t>
  </si>
  <si>
    <t>1.Extract the first 5 characters from the string "ExcelTipsAreGreat" using the LEFT function.</t>
  </si>
  <si>
    <t>2.Extract the last 4 characters from "DataAnalysis.xlsx" using the RIGHT function.</t>
  </si>
  <si>
    <t>3.Extract the substring "Tips" from "ExcelTipsAreGreat" using the MID function.</t>
  </si>
  <si>
    <t>4.Count the total number of characters in the string "Hello World!" using the LEN function.</t>
  </si>
  <si>
    <t>5.Create a formula to extract the middle 6 characters from "12345-67890-ABCDE".</t>
  </si>
  <si>
    <t>ExcelTipsAreGreat</t>
  </si>
  <si>
    <t>DataAnalysis.xlsx</t>
  </si>
  <si>
    <t>Hello World!</t>
  </si>
  <si>
    <t>12345-67890-ABCDE</t>
  </si>
  <si>
    <t>Q.7- Understand how to combine text using CONCAT, TEXTJOIN, and the &amp; operator.</t>
  </si>
  <si>
    <t>1. Use CONCAT to combine "Hello" and "World" with a space in between</t>
  </si>
  <si>
    <t>2. Combine "Apple", "Banana", and "Cherry" into a single string separated by commas using TEXTJOIN</t>
  </si>
  <si>
    <t>3. Use the &amp; operator to create the string "2025: Excel Functions" by combining "2025", ": ", and "Excel</t>
  </si>
  <si>
    <t>4. Create a comma-separated list from the range A1:A5 using TEXTJOIN</t>
  </si>
  <si>
    <t>5. Combine first names in column A with last names in column B to create full names in column C</t>
  </si>
  <si>
    <t>Hello</t>
  </si>
  <si>
    <t>World</t>
  </si>
  <si>
    <t>:</t>
  </si>
  <si>
    <t>Excel Functions</t>
  </si>
  <si>
    <t>Q.8-Understanding TODAY() and NOW()</t>
  </si>
  <si>
    <r>
      <t>NOW()</t>
    </r>
    <r>
      <rPr>
        <sz val="12"/>
        <color theme="1"/>
        <rFont val="Aptos Narrow"/>
        <family val="2"/>
        <scheme val="minor"/>
      </rPr>
      <t xml:space="preserve"> returns the </t>
    </r>
    <r>
      <rPr>
        <b/>
        <sz val="12"/>
        <color theme="1"/>
        <rFont val="Aptos Narrow"/>
        <family val="2"/>
        <scheme val="minor"/>
      </rPr>
      <t>current date and current time</t>
    </r>
    <r>
      <rPr>
        <sz val="12"/>
        <color theme="1"/>
        <rFont val="Aptos Narrow"/>
        <family val="2"/>
        <scheme val="minor"/>
      </rPr>
      <t>.</t>
    </r>
    <r>
      <rPr>
        <b/>
        <sz val="12"/>
        <color theme="1"/>
        <rFont val="Aptos Narrow"/>
        <family val="2"/>
        <scheme val="minor"/>
      </rPr>
      <t xml:space="preserve"> </t>
    </r>
    <r>
      <rPr>
        <sz val="12"/>
        <color theme="1"/>
        <rFont val="Aptos Narrow"/>
        <family val="2"/>
        <scheme val="minor"/>
      </rPr>
      <t>Example-</t>
    </r>
  </si>
  <si>
    <t>1. What is the difference between TODAY() and NOW() in Excel? Provide an example of when you would use each function.</t>
  </si>
  <si>
    <t>2. If cell A1 contains the date 2025-06-10, write a formula using TODAY() to determine how many days are left until that date.</t>
  </si>
  <si>
    <t xml:space="preserve">3.  Write an Excel formula using NOW() to display the current date and time in the format MM/DD/YYYY HH:MM AM/PM. </t>
  </si>
  <si>
    <t>4.  If a cell contains =TODAY(), what will happen when the worksheet is reopened the next day? Explain.</t>
  </si>
  <si>
    <t>5.  You want to store a static date (today’s date) in a cell without it changing every day. What keyboard shortcut should you use?</t>
  </si>
  <si>
    <r>
      <t>1. TODAY()</t>
    </r>
    <r>
      <rPr>
        <sz val="12"/>
        <color theme="1"/>
        <rFont val="Aptos Narrow"/>
        <family val="2"/>
        <scheme val="minor"/>
      </rPr>
      <t xml:space="preserve"> returns </t>
    </r>
    <r>
      <rPr>
        <b/>
        <sz val="12"/>
        <color theme="1"/>
        <rFont val="Aptos Narrow"/>
        <family val="2"/>
        <scheme val="minor"/>
      </rPr>
      <t>only the current date</t>
    </r>
    <r>
      <rPr>
        <sz val="12"/>
        <color theme="1"/>
        <rFont val="Aptos Narrow"/>
        <family val="2"/>
        <scheme val="minor"/>
      </rPr>
      <t>.</t>
    </r>
  </si>
  <si>
    <t xml:space="preserve">Left Days- </t>
  </si>
  <si>
    <t>4. If a cell contains =TODAY(), then when the worksheet is reopened the next day, Excel will automatically update the cell to show the new current date.</t>
  </si>
  <si>
    <t>5. If we press Ctrl + ; today, it will insert today’s date, and it will stay the same even when we open the worksheet later.</t>
  </si>
  <si>
    <t>Ans-    1.</t>
  </si>
  <si>
    <t>Apple</t>
  </si>
  <si>
    <t>Banana</t>
  </si>
  <si>
    <t>Cherry</t>
  </si>
  <si>
    <t>Let's take some data for making a comma-separated list</t>
  </si>
  <si>
    <t>Guava</t>
  </si>
  <si>
    <t>Orange</t>
  </si>
  <si>
    <t>Kiwi</t>
  </si>
  <si>
    <t>Column A</t>
  </si>
  <si>
    <t>Column B</t>
  </si>
  <si>
    <t>Column C</t>
  </si>
  <si>
    <t>Ani</t>
  </si>
  <si>
    <t>Grover</t>
  </si>
  <si>
    <t>Apoorva</t>
  </si>
  <si>
    <t>Singh</t>
  </si>
  <si>
    <t>Sam</t>
  </si>
  <si>
    <t>Grini</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</si>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</sst>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m/d/yyyy\ h:mm\ AM/PM"/>
  </numFmts>
  <fonts count="6">
    <font>
      <sz val="11"/>
      <color theme="1"/>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
      <sz val="12"/>
      <color theme="1"/>
      <name val="Aptos Narrow"/>
      <family val="2"/>
      <scheme val="minor"/>
    </font>
    <font>
      <b/>
      <sz val="12"/>
      <color theme="1"/>
      <name val="Arial Unicode MS"/>
    </font>
  </fonts>
  <fills count="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3" fillId="2" borderId="0" xfId="0" applyFont="1" applyFill="1"/>
    <xf numFmtId="0" fontId="0" fillId="2" borderId="0" xfId="0" applyFill="1"/>
    <xf numFmtId="0" fontId="1" fillId="0" borderId="0" xfId="0" applyFont="1"/>
    <xf numFmtId="0" fontId="0" fillId="0" borderId="0" xfId="0" applyAlignment="1">
      <alignment horizontal="left" vertical="center" indent="1"/>
    </xf>
    <xf numFmtId="0" fontId="4" fillId="0" borderId="0" xfId="0" applyFont="1"/>
    <xf numFmtId="0" fontId="2" fillId="0" borderId="0" xfId="0" applyFont="1"/>
    <xf numFmtId="0" fontId="2" fillId="0" borderId="0" xfId="0" applyFont="1" applyAlignment="1">
      <alignment horizontal="left" vertical="center" indent="1"/>
    </xf>
    <xf numFmtId="0" fontId="4" fillId="0" borderId="0" xfId="0" applyFont="1" applyAlignment="1">
      <alignment vertical="center"/>
    </xf>
    <xf numFmtId="0" fontId="0" fillId="2" borderId="0" xfId="0" applyFill="1" applyAlignment="1">
      <alignment horizontal="left" vertical="center" indent="1"/>
    </xf>
    <xf numFmtId="0" fontId="2" fillId="0" borderId="1" xfId="0" applyFont="1" applyBorder="1"/>
    <xf numFmtId="0" fontId="4" fillId="0" borderId="1" xfId="0" applyFont="1" applyBorder="1"/>
    <xf numFmtId="0" fontId="4" fillId="0" borderId="0" xfId="0" applyFont="1" applyAlignment="1">
      <alignment horizontal="left" vertical="center" indent="1"/>
    </xf>
    <xf numFmtId="0" fontId="4" fillId="0" borderId="1" xfId="0" applyFont="1" applyBorder="1" applyAlignment="1">
      <alignment horizontal="left"/>
    </xf>
    <xf numFmtId="0" fontId="4" fillId="3" borderId="0" xfId="0" applyFont="1" applyFill="1"/>
    <xf numFmtId="0" fontId="4" fillId="4" borderId="0" xfId="0" applyFont="1" applyFill="1"/>
    <xf numFmtId="0" fontId="0" fillId="3" borderId="0" xfId="0" applyFill="1"/>
    <xf numFmtId="0" fontId="1" fillId="2" borderId="0" xfId="0" applyFont="1" applyFill="1"/>
    <xf numFmtId="0" fontId="3" fillId="0" borderId="0" xfId="0" applyFont="1"/>
    <xf numFmtId="0" fontId="2" fillId="3" borderId="0" xfId="0" applyFont="1" applyFill="1"/>
    <xf numFmtId="0" fontId="2" fillId="4" borderId="0" xfId="0" applyFont="1" applyFill="1"/>
    <xf numFmtId="14" fontId="4" fillId="4" borderId="0" xfId="0" applyNumberFormat="1" applyFont="1" applyFill="1"/>
    <xf numFmtId="22" fontId="4" fillId="4" borderId="0" xfId="0" applyNumberFormat="1" applyFont="1" applyFill="1"/>
    <xf numFmtId="0" fontId="0" fillId="4" borderId="0" xfId="0" applyFill="1"/>
    <xf numFmtId="0" fontId="4" fillId="4" borderId="1" xfId="0" applyFont="1" applyFill="1" applyBorder="1"/>
    <xf numFmtId="167" fontId="4" fillId="4"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DA3D8-2D7F-4CFF-BD09-E8ACB54022C0}">
  <dimension ref="A1:Y150"/>
  <sheetViews>
    <sheetView tabSelected="1" topLeftCell="A129" workbookViewId="0">
      <selection activeCell="I126" sqref="I126"/>
    </sheetView>
  </sheetViews>
  <sheetFormatPr defaultRowHeight="14.4"/>
  <cols>
    <col min="2" max="2" width="9" bestFit="1" customWidth="1"/>
    <col min="3" max="3" width="19" bestFit="1" customWidth="1"/>
    <col min="4" max="4" width="13.6640625" customWidth="1"/>
    <col min="5" max="5" width="11.88671875" customWidth="1"/>
    <col min="6" max="6" width="10.77734375" customWidth="1"/>
    <col min="7" max="7" width="9.5546875" customWidth="1"/>
    <col min="8" max="8" width="8.88671875" customWidth="1"/>
    <col min="10" max="10" width="9.77734375" customWidth="1"/>
  </cols>
  <sheetData>
    <row r="1" spans="1:25" ht="18">
      <c r="A1" s="1" t="s">
        <v>0</v>
      </c>
      <c r="B1" s="2"/>
      <c r="C1" s="2"/>
      <c r="D1" s="2"/>
      <c r="E1" s="2"/>
      <c r="F1" s="2"/>
      <c r="G1" s="2"/>
      <c r="H1" s="2"/>
      <c r="I1" s="2"/>
      <c r="J1" s="2"/>
      <c r="K1" s="2"/>
      <c r="L1" s="2"/>
      <c r="M1" s="2"/>
      <c r="N1" s="2"/>
      <c r="O1" s="2"/>
      <c r="P1" s="2"/>
      <c r="Q1" s="2"/>
      <c r="R1" s="2"/>
      <c r="S1" s="2"/>
      <c r="T1" s="2"/>
      <c r="U1" s="2"/>
      <c r="V1" s="2"/>
      <c r="W1" s="2"/>
      <c r="X1" s="2"/>
      <c r="Y1" s="2"/>
    </row>
    <row r="3" spans="1:25" ht="15.6">
      <c r="A3" s="3" t="s">
        <v>1</v>
      </c>
      <c r="B3" t="s">
        <v>2</v>
      </c>
    </row>
    <row r="4" spans="1:25" ht="15.6">
      <c r="B4" s="5" t="s">
        <v>3</v>
      </c>
    </row>
    <row r="5" spans="1:25" ht="15.6">
      <c r="B5" s="5"/>
    </row>
    <row r="6" spans="1:25" ht="15.6">
      <c r="B6" s="7" t="s">
        <v>10</v>
      </c>
      <c r="C6" s="6"/>
      <c r="D6" s="6"/>
      <c r="E6" s="6"/>
      <c r="F6" s="6"/>
      <c r="G6" s="6"/>
    </row>
    <row r="7" spans="1:25" ht="15.6">
      <c r="B7" s="5" t="s">
        <v>4</v>
      </c>
      <c r="C7" s="5"/>
      <c r="D7" s="5"/>
      <c r="E7" s="5"/>
      <c r="F7" s="5"/>
      <c r="G7" s="5"/>
      <c r="H7" s="5"/>
      <c r="I7" s="5"/>
    </row>
    <row r="8" spans="1:25" ht="15.6">
      <c r="B8" s="5"/>
      <c r="C8" s="5"/>
      <c r="D8" s="5"/>
      <c r="E8" s="5"/>
      <c r="F8" s="5"/>
      <c r="G8" s="5"/>
      <c r="H8" s="5"/>
      <c r="I8" s="5"/>
    </row>
    <row r="9" spans="1:25" ht="15.6">
      <c r="B9" s="5" t="s">
        <v>5</v>
      </c>
      <c r="C9" s="5"/>
      <c r="D9" s="5"/>
      <c r="E9" s="5"/>
      <c r="F9" s="5"/>
      <c r="G9" s="5"/>
      <c r="H9" s="5"/>
      <c r="I9" s="5"/>
    </row>
    <row r="10" spans="1:25" ht="15.6">
      <c r="B10" s="5" t="s">
        <v>6</v>
      </c>
      <c r="C10" s="5"/>
      <c r="D10" s="5"/>
      <c r="E10" s="5"/>
      <c r="F10" s="5"/>
      <c r="G10" s="5"/>
      <c r="H10" s="5"/>
      <c r="I10" s="5"/>
    </row>
    <row r="11" spans="1:25" ht="15.6">
      <c r="B11" s="5" t="s">
        <v>7</v>
      </c>
      <c r="C11" s="5"/>
      <c r="D11" s="5"/>
      <c r="E11" s="5"/>
      <c r="F11" s="5"/>
      <c r="G11" s="5"/>
      <c r="H11" s="5"/>
      <c r="I11" s="5"/>
    </row>
    <row r="12" spans="1:25" ht="15.6">
      <c r="B12" s="5" t="s">
        <v>8</v>
      </c>
      <c r="C12" s="5"/>
      <c r="D12" s="5"/>
      <c r="E12" s="5"/>
      <c r="F12" s="5"/>
      <c r="G12" s="5"/>
      <c r="H12" s="5"/>
      <c r="I12" s="5"/>
    </row>
    <row r="13" spans="1:25" ht="15.6">
      <c r="B13" s="5" t="s">
        <v>9</v>
      </c>
      <c r="C13" s="5"/>
      <c r="D13" s="5"/>
      <c r="E13" s="5"/>
      <c r="F13" s="5"/>
      <c r="G13" s="5"/>
      <c r="H13" s="5"/>
      <c r="I13" s="5"/>
    </row>
    <row r="15" spans="1:25" ht="15.6">
      <c r="B15" s="6" t="s">
        <v>11</v>
      </c>
    </row>
    <row r="17" spans="1:18" ht="15.6">
      <c r="B17" s="8" t="s">
        <v>13</v>
      </c>
    </row>
    <row r="19" spans="1:18" ht="15.6">
      <c r="B19" s="8" t="s">
        <v>12</v>
      </c>
    </row>
    <row r="21" spans="1:18" ht="15.6">
      <c r="B21" s="8" t="s">
        <v>14</v>
      </c>
    </row>
    <row r="23" spans="1:18" ht="15.6">
      <c r="B23" s="8" t="s">
        <v>15</v>
      </c>
    </row>
    <row r="24" spans="1:18">
      <c r="B24" s="4"/>
    </row>
    <row r="25" spans="1:18" ht="15.6">
      <c r="B25" s="8" t="s">
        <v>17</v>
      </c>
    </row>
    <row r="27" spans="1:18" ht="15.6">
      <c r="B27" s="8" t="s">
        <v>16</v>
      </c>
    </row>
    <row r="28" spans="1:18">
      <c r="B28" s="4"/>
    </row>
    <row r="29" spans="1:18">
      <c r="B29" s="4"/>
    </row>
    <row r="30" spans="1:18" ht="18">
      <c r="A30" s="1" t="s">
        <v>18</v>
      </c>
      <c r="B30" s="9"/>
      <c r="C30" s="2"/>
      <c r="D30" s="2"/>
      <c r="E30" s="2"/>
      <c r="F30" s="2"/>
      <c r="G30" s="2"/>
      <c r="H30" s="2"/>
      <c r="I30" s="2"/>
      <c r="J30" s="2"/>
      <c r="K30" s="2"/>
      <c r="L30" s="2"/>
      <c r="M30" s="2"/>
      <c r="N30" s="2"/>
      <c r="O30" s="2"/>
      <c r="P30" s="2"/>
      <c r="Q30" s="2"/>
      <c r="R30" s="2"/>
    </row>
    <row r="31" spans="1:18">
      <c r="B31" s="4"/>
    </row>
    <row r="32" spans="1:18" ht="15.6">
      <c r="A32" s="5" t="s">
        <v>33</v>
      </c>
      <c r="D32" s="10" t="s">
        <v>19</v>
      </c>
      <c r="E32" s="10" t="s">
        <v>20</v>
      </c>
      <c r="F32" s="10" t="s">
        <v>21</v>
      </c>
      <c r="G32" s="6"/>
    </row>
    <row r="33" spans="1:12" ht="15.6">
      <c r="D33" s="11" t="s">
        <v>23</v>
      </c>
      <c r="E33" s="24" t="s">
        <v>26</v>
      </c>
      <c r="F33" s="24">
        <v>5000</v>
      </c>
      <c r="G33" s="5"/>
    </row>
    <row r="34" spans="1:12" ht="15.6">
      <c r="D34" s="11" t="s">
        <v>22</v>
      </c>
      <c r="E34" s="24" t="s">
        <v>25</v>
      </c>
      <c r="F34" s="24">
        <v>4000</v>
      </c>
      <c r="G34" s="5"/>
    </row>
    <row r="35" spans="1:12" ht="15.6">
      <c r="D35" s="11" t="s">
        <v>24</v>
      </c>
      <c r="E35" s="24" t="s">
        <v>25</v>
      </c>
      <c r="F35" s="24">
        <v>2500</v>
      </c>
      <c r="G35" s="5"/>
    </row>
    <row r="37" spans="1:12" ht="15.6">
      <c r="C37" s="5" t="s">
        <v>28</v>
      </c>
      <c r="D37" s="5"/>
      <c r="E37" s="5"/>
      <c r="F37" s="5"/>
      <c r="G37" s="5"/>
    </row>
    <row r="38" spans="1:12" ht="15.6">
      <c r="E38" s="5" t="s">
        <v>27</v>
      </c>
    </row>
    <row r="39" spans="1:12" ht="15.6">
      <c r="E39" s="5" t="s">
        <v>29</v>
      </c>
      <c r="F39" s="5"/>
      <c r="G39" s="5"/>
      <c r="H39" s="5"/>
      <c r="I39" s="5"/>
      <c r="J39" s="5"/>
      <c r="K39" s="5"/>
      <c r="L39" s="5"/>
    </row>
    <row r="40" spans="1:12" ht="15.6">
      <c r="E40" s="5" t="s">
        <v>31</v>
      </c>
      <c r="F40" s="5"/>
      <c r="G40" s="5"/>
    </row>
    <row r="41" spans="1:12" ht="15.6">
      <c r="E41" s="5" t="s">
        <v>30</v>
      </c>
    </row>
    <row r="43" spans="1:12" ht="18">
      <c r="A43" s="1" t="s">
        <v>32</v>
      </c>
      <c r="B43" s="1"/>
      <c r="C43" s="1"/>
      <c r="D43" s="1"/>
      <c r="E43" s="1"/>
      <c r="F43" s="1"/>
      <c r="G43" s="1"/>
      <c r="H43" s="1"/>
      <c r="I43" s="1"/>
      <c r="J43" s="2"/>
      <c r="K43" s="2"/>
      <c r="L43" s="2"/>
    </row>
    <row r="45" spans="1:12" ht="15.6">
      <c r="A45" s="5" t="s">
        <v>33</v>
      </c>
      <c r="B45" s="6" t="s">
        <v>34</v>
      </c>
      <c r="C45" s="6"/>
      <c r="D45" s="6"/>
      <c r="E45" s="6"/>
      <c r="F45" s="6"/>
      <c r="I45" t="s">
        <v>39</v>
      </c>
      <c r="J45" t="s">
        <v>40</v>
      </c>
      <c r="L45" t="str">
        <f>TRIM(J45)</f>
        <v>Physics Wallah</v>
      </c>
    </row>
    <row r="47" spans="1:12" ht="15.6">
      <c r="B47" s="6" t="s">
        <v>35</v>
      </c>
      <c r="C47" s="6"/>
      <c r="D47" s="6"/>
      <c r="E47" s="6"/>
      <c r="F47" s="6"/>
      <c r="G47" s="6"/>
      <c r="H47" s="6"/>
      <c r="I47" t="s">
        <v>41</v>
      </c>
      <c r="J47" t="s">
        <v>42</v>
      </c>
      <c r="L47" t="str">
        <f>LEFT(J47,7)</f>
        <v>Phyiscs</v>
      </c>
    </row>
    <row r="48" spans="1:12" ht="15.6">
      <c r="B48" s="6"/>
      <c r="C48" s="6"/>
      <c r="D48" s="6"/>
      <c r="E48" s="6"/>
      <c r="F48" s="6"/>
      <c r="G48" s="6"/>
      <c r="H48" s="6"/>
    </row>
    <row r="49" spans="1:13" ht="15.6">
      <c r="B49" s="6" t="s">
        <v>36</v>
      </c>
      <c r="C49" s="6"/>
      <c r="D49" s="6"/>
      <c r="E49" s="6"/>
      <c r="F49" s="6"/>
      <c r="G49" s="6"/>
      <c r="H49" s="6"/>
      <c r="J49" t="s">
        <v>39</v>
      </c>
      <c r="K49" t="s">
        <v>42</v>
      </c>
      <c r="M49" t="str">
        <f>RIGHT(K49,6)</f>
        <v>Wallah</v>
      </c>
    </row>
    <row r="50" spans="1:13" ht="15.6">
      <c r="B50" s="6"/>
      <c r="C50" s="6"/>
      <c r="D50" s="6"/>
      <c r="E50" s="6"/>
      <c r="F50" s="6"/>
      <c r="G50" s="6"/>
      <c r="H50" s="6"/>
    </row>
    <row r="51" spans="1:13" ht="15.6">
      <c r="B51" s="6" t="s">
        <v>37</v>
      </c>
      <c r="C51" s="6"/>
      <c r="D51" s="6"/>
      <c r="E51" s="6"/>
      <c r="F51" s="6"/>
      <c r="G51" s="6"/>
      <c r="H51" s="6"/>
      <c r="J51" t="s">
        <v>39</v>
      </c>
      <c r="K51" t="s">
        <v>43</v>
      </c>
      <c r="M51" t="str">
        <f>MID(K51,5,5)</f>
        <v>Mohan</v>
      </c>
    </row>
    <row r="52" spans="1:13" ht="15.6">
      <c r="B52" s="6"/>
      <c r="C52" s="6"/>
      <c r="D52" s="6"/>
      <c r="E52" s="6"/>
      <c r="F52" s="6"/>
      <c r="G52" s="6"/>
      <c r="H52" s="6"/>
    </row>
    <row r="53" spans="1:13" ht="15.6">
      <c r="B53" s="6" t="s">
        <v>38</v>
      </c>
      <c r="C53" s="6"/>
      <c r="D53" s="6"/>
      <c r="E53" s="6"/>
      <c r="F53" s="6"/>
      <c r="G53" s="6"/>
      <c r="H53" s="6"/>
      <c r="J53" t="s">
        <v>41</v>
      </c>
      <c r="K53" t="s">
        <v>44</v>
      </c>
      <c r="L53" t="s">
        <v>45</v>
      </c>
      <c r="M53" t="str">
        <f>CONCATENATE(K53,L53)</f>
        <v>PhysicsWallah</v>
      </c>
    </row>
    <row r="55" spans="1:13" ht="18">
      <c r="A55" s="1" t="s">
        <v>46</v>
      </c>
      <c r="B55" s="1"/>
      <c r="C55" s="1"/>
      <c r="D55" s="1"/>
      <c r="E55" s="1"/>
      <c r="F55" s="1"/>
      <c r="G55" s="17"/>
      <c r="H55" s="17"/>
    </row>
    <row r="57" spans="1:13" ht="15.6">
      <c r="A57" s="5" t="s">
        <v>33</v>
      </c>
      <c r="B57" s="6" t="s">
        <v>47</v>
      </c>
      <c r="C57" s="5"/>
      <c r="D57" s="5"/>
      <c r="E57" s="5"/>
      <c r="F57" s="5"/>
      <c r="G57" s="5"/>
      <c r="H57" s="5"/>
      <c r="I57" s="5"/>
      <c r="J57" s="5"/>
      <c r="K57" s="5"/>
      <c r="L57" s="5"/>
    </row>
    <row r="58" spans="1:13" ht="15.6">
      <c r="A58" s="5"/>
      <c r="B58" s="12"/>
      <c r="C58" s="5"/>
      <c r="D58" s="5"/>
      <c r="E58" s="5"/>
      <c r="F58" s="5"/>
      <c r="G58" s="5"/>
      <c r="H58" s="5"/>
      <c r="I58" s="5"/>
      <c r="J58" s="5"/>
      <c r="K58" s="5"/>
      <c r="L58" s="5"/>
    </row>
    <row r="59" spans="1:13" ht="15.6">
      <c r="A59" s="5"/>
      <c r="B59" s="7" t="s">
        <v>48</v>
      </c>
      <c r="C59" s="5"/>
      <c r="D59" s="5"/>
      <c r="E59" s="5"/>
      <c r="F59" s="5"/>
      <c r="G59" s="5"/>
      <c r="H59" s="5"/>
      <c r="I59" s="5"/>
      <c r="J59" s="5"/>
      <c r="K59" s="5"/>
      <c r="L59" s="5"/>
    </row>
    <row r="60" spans="1:13" ht="15.6">
      <c r="A60" s="5"/>
      <c r="B60" s="12"/>
      <c r="C60" s="5"/>
      <c r="D60" s="5"/>
      <c r="E60" s="5"/>
      <c r="F60" s="5"/>
      <c r="G60" s="5"/>
      <c r="H60" s="5"/>
      <c r="I60" s="5"/>
      <c r="J60" s="5"/>
      <c r="K60" s="5"/>
      <c r="L60" s="5"/>
    </row>
    <row r="61" spans="1:13" ht="15.6">
      <c r="A61" s="5"/>
      <c r="B61" s="12" t="s">
        <v>49</v>
      </c>
      <c r="C61" s="5"/>
      <c r="D61" s="5"/>
      <c r="E61" s="5"/>
      <c r="F61" s="5"/>
      <c r="G61" s="5"/>
      <c r="H61" s="5"/>
      <c r="I61" s="5"/>
      <c r="J61" s="5"/>
      <c r="K61" s="5"/>
      <c r="L61" s="5"/>
    </row>
    <row r="62" spans="1:13" ht="15.6">
      <c r="A62" s="5"/>
      <c r="B62" s="12"/>
      <c r="C62" s="5"/>
      <c r="D62" s="5"/>
      <c r="E62" s="5"/>
      <c r="F62" s="5"/>
      <c r="G62" s="5"/>
      <c r="H62" s="5"/>
      <c r="I62" s="5"/>
      <c r="J62" s="5"/>
      <c r="K62" s="5"/>
      <c r="L62" s="5"/>
    </row>
    <row r="63" spans="1:13" ht="15.6">
      <c r="A63" s="5"/>
      <c r="B63" s="12" t="s">
        <v>50</v>
      </c>
      <c r="C63" s="5"/>
      <c r="D63" s="5"/>
      <c r="E63" s="5"/>
      <c r="F63" s="5"/>
      <c r="G63" s="5"/>
      <c r="H63" s="5"/>
      <c r="I63" s="5"/>
      <c r="J63" s="5"/>
      <c r="K63" s="5"/>
      <c r="L63" s="5"/>
    </row>
    <row r="64" spans="1:13" ht="15.6">
      <c r="A64" s="5"/>
      <c r="B64" s="12"/>
      <c r="C64" s="5"/>
      <c r="D64" s="5"/>
      <c r="E64" s="5"/>
      <c r="F64" s="5"/>
      <c r="G64" s="5"/>
      <c r="H64" s="5"/>
      <c r="I64" s="5"/>
      <c r="J64" s="5"/>
      <c r="K64" s="5"/>
      <c r="L64" s="5"/>
    </row>
    <row r="65" spans="1:19" ht="15.6">
      <c r="A65" s="5"/>
      <c r="B65" s="12" t="s">
        <v>51</v>
      </c>
      <c r="C65" s="5"/>
      <c r="D65" s="5"/>
      <c r="E65" s="5"/>
      <c r="F65" s="5"/>
      <c r="G65" s="5"/>
      <c r="H65" s="5"/>
      <c r="I65" s="5"/>
      <c r="J65" s="5"/>
      <c r="K65" s="5"/>
      <c r="L65" s="5"/>
    </row>
    <row r="66" spans="1:19" ht="15.6">
      <c r="A66" s="5"/>
      <c r="B66" s="12"/>
      <c r="C66" s="5"/>
      <c r="D66" s="5"/>
      <c r="E66" s="5"/>
      <c r="F66" s="5"/>
      <c r="G66" s="5"/>
      <c r="H66" s="5"/>
      <c r="I66" s="5"/>
      <c r="J66" s="5"/>
      <c r="K66" s="5"/>
      <c r="L66" s="5"/>
    </row>
    <row r="67" spans="1:19" ht="15.6">
      <c r="A67" s="5"/>
      <c r="B67" s="12" t="s">
        <v>52</v>
      </c>
      <c r="C67" s="5"/>
      <c r="D67" s="5"/>
      <c r="E67" s="5"/>
      <c r="F67" s="5"/>
      <c r="G67" s="5"/>
      <c r="H67" s="5"/>
      <c r="I67" s="5"/>
      <c r="J67" s="5"/>
      <c r="K67" s="5"/>
      <c r="L67" s="5"/>
    </row>
    <row r="69" spans="1:19" ht="18">
      <c r="A69" s="1" t="s">
        <v>53</v>
      </c>
      <c r="B69" s="1"/>
      <c r="C69" s="1"/>
      <c r="D69" s="1"/>
      <c r="E69" s="1"/>
      <c r="F69" s="1"/>
      <c r="G69" s="1"/>
      <c r="H69" s="1"/>
      <c r="I69" s="1"/>
      <c r="J69" s="1"/>
      <c r="K69" s="1"/>
      <c r="L69" s="1"/>
      <c r="M69" s="1"/>
      <c r="N69" s="1"/>
      <c r="O69" s="1"/>
      <c r="P69" s="17"/>
      <c r="Q69" s="17"/>
      <c r="R69" s="17"/>
      <c r="S69" s="2"/>
    </row>
    <row r="70" spans="1:19" ht="18">
      <c r="A70" s="1"/>
      <c r="B70" s="1" t="s">
        <v>54</v>
      </c>
      <c r="C70" s="1"/>
      <c r="D70" s="1"/>
      <c r="E70" s="1"/>
      <c r="F70" s="1"/>
      <c r="G70" s="1"/>
      <c r="H70" s="1"/>
      <c r="I70" s="1"/>
      <c r="J70" s="1"/>
      <c r="K70" s="1"/>
      <c r="L70" s="1"/>
      <c r="M70" s="1"/>
      <c r="N70" s="1"/>
      <c r="O70" s="1"/>
      <c r="P70" s="17"/>
      <c r="Q70" s="17"/>
      <c r="R70" s="17"/>
      <c r="S70" s="2"/>
    </row>
    <row r="71" spans="1:19" ht="18">
      <c r="A71" s="1"/>
      <c r="B71" s="1" t="s">
        <v>55</v>
      </c>
      <c r="C71" s="1"/>
      <c r="D71" s="1"/>
      <c r="E71" s="1"/>
      <c r="F71" s="1"/>
      <c r="G71" s="1"/>
      <c r="H71" s="1"/>
      <c r="I71" s="1"/>
      <c r="J71" s="1"/>
      <c r="K71" s="1"/>
      <c r="L71" s="1"/>
      <c r="M71" s="1"/>
      <c r="N71" s="1"/>
      <c r="O71" s="1"/>
      <c r="P71" s="17"/>
      <c r="Q71" s="17"/>
      <c r="R71" s="17"/>
      <c r="S71" s="2"/>
    </row>
    <row r="72" spans="1:19" ht="18">
      <c r="A72" s="1"/>
      <c r="B72" s="1" t="s">
        <v>56</v>
      </c>
      <c r="C72" s="1"/>
      <c r="D72" s="1"/>
      <c r="E72" s="1"/>
      <c r="F72" s="1"/>
      <c r="G72" s="1"/>
      <c r="H72" s="1"/>
      <c r="I72" s="1"/>
      <c r="J72" s="1"/>
      <c r="K72" s="1"/>
      <c r="L72" s="1"/>
      <c r="M72" s="1"/>
      <c r="N72" s="1"/>
      <c r="O72" s="1"/>
      <c r="P72" s="17"/>
      <c r="Q72" s="17"/>
      <c r="R72" s="17"/>
      <c r="S72" s="2"/>
    </row>
    <row r="74" spans="1:19" ht="15.6">
      <c r="B74" s="10" t="s">
        <v>57</v>
      </c>
      <c r="C74" s="10"/>
      <c r="D74" s="10" t="s">
        <v>58</v>
      </c>
      <c r="E74" s="10" t="s">
        <v>60</v>
      </c>
      <c r="F74" s="10" t="s">
        <v>59</v>
      </c>
      <c r="G74" s="10" t="s">
        <v>61</v>
      </c>
    </row>
    <row r="75" spans="1:19" ht="15.6">
      <c r="B75" s="13" t="s">
        <v>62</v>
      </c>
      <c r="C75" s="13"/>
      <c r="D75" s="11" t="s">
        <v>71</v>
      </c>
      <c r="E75" s="11" t="s">
        <v>78</v>
      </c>
      <c r="F75" s="24"/>
      <c r="G75" s="11">
        <v>81</v>
      </c>
    </row>
    <row r="76" spans="1:19" ht="15.6">
      <c r="B76" s="13" t="s">
        <v>63</v>
      </c>
      <c r="C76" s="13"/>
      <c r="D76" s="11" t="s">
        <v>72</v>
      </c>
      <c r="E76" s="11" t="s">
        <v>78</v>
      </c>
      <c r="F76" s="24"/>
      <c r="G76" s="11">
        <v>21</v>
      </c>
    </row>
    <row r="77" spans="1:19" ht="15.6">
      <c r="B77" s="13" t="s">
        <v>64</v>
      </c>
      <c r="C77" s="13"/>
      <c r="D77" s="11" t="s">
        <v>73</v>
      </c>
      <c r="E77" s="11" t="s">
        <v>79</v>
      </c>
      <c r="F77" s="24"/>
      <c r="G77" s="11">
        <v>239</v>
      </c>
    </row>
    <row r="78" spans="1:19" ht="15.6">
      <c r="B78" s="13" t="s">
        <v>65</v>
      </c>
      <c r="C78" s="13"/>
      <c r="D78" s="11" t="s">
        <v>71</v>
      </c>
      <c r="E78" s="11" t="s">
        <v>78</v>
      </c>
      <c r="F78" s="24"/>
      <c r="G78" s="11">
        <v>500</v>
      </c>
    </row>
    <row r="79" spans="1:19" ht="15.6">
      <c r="B79" s="13" t="s">
        <v>66</v>
      </c>
      <c r="C79" s="13"/>
      <c r="D79" s="11" t="s">
        <v>74</v>
      </c>
      <c r="E79" s="11" t="s">
        <v>80</v>
      </c>
      <c r="F79" s="24"/>
      <c r="G79" s="11">
        <v>423</v>
      </c>
    </row>
    <row r="80" spans="1:19" ht="15.6">
      <c r="B80" s="13" t="s">
        <v>67</v>
      </c>
      <c r="C80" s="13"/>
      <c r="D80" s="11" t="s">
        <v>75</v>
      </c>
      <c r="E80" s="11" t="s">
        <v>78</v>
      </c>
      <c r="F80" s="24"/>
      <c r="G80" s="11">
        <v>160</v>
      </c>
    </row>
    <row r="81" spans="1:10" ht="15.6">
      <c r="B81" s="13" t="s">
        <v>68</v>
      </c>
      <c r="C81" s="13"/>
      <c r="D81" s="11" t="s">
        <v>76</v>
      </c>
      <c r="E81" s="11" t="s">
        <v>78</v>
      </c>
      <c r="F81" s="24"/>
      <c r="G81" s="11">
        <v>348</v>
      </c>
    </row>
    <row r="82" spans="1:10" ht="15.6">
      <c r="B82" s="13" t="s">
        <v>69</v>
      </c>
      <c r="C82" s="13"/>
      <c r="D82" s="11" t="s">
        <v>76</v>
      </c>
      <c r="E82" s="11" t="s">
        <v>78</v>
      </c>
      <c r="F82" s="24"/>
      <c r="G82" s="11">
        <v>152</v>
      </c>
    </row>
    <row r="83" spans="1:10" ht="15.6">
      <c r="B83" s="13" t="s">
        <v>70</v>
      </c>
      <c r="C83" s="13"/>
      <c r="D83" s="11" t="s">
        <v>77</v>
      </c>
      <c r="E83" s="11" t="s">
        <v>80</v>
      </c>
      <c r="F83" s="24"/>
      <c r="G83" s="11">
        <v>369</v>
      </c>
    </row>
    <row r="85" spans="1:10" ht="18">
      <c r="A85" s="1" t="s">
        <v>81</v>
      </c>
      <c r="B85" s="1"/>
      <c r="C85" s="1"/>
      <c r="D85" s="1"/>
      <c r="E85" s="1"/>
      <c r="F85" s="1"/>
      <c r="G85" s="1"/>
      <c r="H85" s="17"/>
      <c r="I85" s="17"/>
    </row>
    <row r="86" spans="1:10" ht="15.6">
      <c r="B86" s="14" t="s">
        <v>82</v>
      </c>
      <c r="C86" s="14"/>
      <c r="D86" s="14"/>
      <c r="E86" s="14"/>
      <c r="F86" s="14"/>
      <c r="G86" s="14"/>
      <c r="H86" s="14"/>
      <c r="I86" s="14"/>
      <c r="J86" s="14"/>
    </row>
    <row r="87" spans="1:10" ht="15.6">
      <c r="B87" s="14" t="s">
        <v>83</v>
      </c>
      <c r="C87" s="14"/>
      <c r="D87" s="14"/>
      <c r="E87" s="14"/>
      <c r="F87" s="14"/>
      <c r="G87" s="14"/>
      <c r="H87" s="14"/>
      <c r="I87" s="14"/>
      <c r="J87" s="14"/>
    </row>
    <row r="88" spans="1:10" ht="15.6">
      <c r="B88" s="14" t="s">
        <v>84</v>
      </c>
      <c r="C88" s="14"/>
      <c r="D88" s="14"/>
      <c r="E88" s="14"/>
      <c r="F88" s="14"/>
      <c r="G88" s="14"/>
      <c r="H88" s="14"/>
      <c r="I88" s="14"/>
      <c r="J88" s="14"/>
    </row>
    <row r="89" spans="1:10" ht="15.6">
      <c r="B89" s="14" t="s">
        <v>85</v>
      </c>
      <c r="C89" s="14"/>
      <c r="D89" s="14"/>
      <c r="E89" s="14"/>
      <c r="F89" s="14"/>
      <c r="G89" s="14"/>
      <c r="H89" s="14"/>
      <c r="I89" s="14"/>
      <c r="J89" s="14"/>
    </row>
    <row r="90" spans="1:10" ht="15.6">
      <c r="B90" s="14" t="s">
        <v>86</v>
      </c>
      <c r="C90" s="14"/>
      <c r="D90" s="14"/>
      <c r="E90" s="14"/>
      <c r="F90" s="14"/>
      <c r="G90" s="14"/>
      <c r="H90" s="14"/>
      <c r="I90" s="14"/>
      <c r="J90" s="14"/>
    </row>
    <row r="92" spans="1:10" ht="15.6">
      <c r="A92" t="s">
        <v>33</v>
      </c>
      <c r="B92" s="15" t="s">
        <v>87</v>
      </c>
      <c r="C92" s="15"/>
      <c r="D92" s="15"/>
      <c r="E92" s="15" t="str">
        <f>LEFT(B92,5)</f>
        <v>Excel</v>
      </c>
    </row>
    <row r="93" spans="1:10" ht="15.6">
      <c r="B93" s="15"/>
      <c r="C93" s="15"/>
      <c r="D93" s="15"/>
      <c r="E93" s="15"/>
    </row>
    <row r="94" spans="1:10" ht="15.6">
      <c r="B94" s="15" t="s">
        <v>88</v>
      </c>
      <c r="C94" s="15"/>
      <c r="D94" s="15"/>
      <c r="E94" s="15" t="str">
        <f>RIGHT(B94,4)</f>
        <v>xlsx</v>
      </c>
    </row>
    <row r="95" spans="1:10" ht="15.6">
      <c r="B95" s="15"/>
      <c r="C95" s="15"/>
      <c r="D95" s="15"/>
      <c r="E95" s="15"/>
    </row>
    <row r="96" spans="1:10" ht="15.6">
      <c r="B96" s="15" t="s">
        <v>87</v>
      </c>
      <c r="C96" s="15"/>
      <c r="D96" s="15"/>
      <c r="E96" s="15" t="str">
        <f>MID(B96,6,4)</f>
        <v>Tips</v>
      </c>
    </row>
    <row r="97" spans="1:10" ht="15.6">
      <c r="B97" s="15"/>
      <c r="C97" s="15"/>
      <c r="D97" s="15"/>
      <c r="E97" s="15"/>
    </row>
    <row r="98" spans="1:10" ht="15.6">
      <c r="B98" s="15" t="s">
        <v>89</v>
      </c>
      <c r="C98" s="15"/>
      <c r="D98" s="15"/>
      <c r="E98" s="15">
        <f>LEN(B98)</f>
        <v>12</v>
      </c>
    </row>
    <row r="99" spans="1:10" ht="15.6">
      <c r="B99" s="15"/>
      <c r="C99" s="15"/>
      <c r="D99" s="15"/>
      <c r="E99" s="15"/>
    </row>
    <row r="100" spans="1:10" ht="15.6">
      <c r="B100" s="15" t="s">
        <v>90</v>
      </c>
      <c r="C100" s="15"/>
      <c r="D100" s="15"/>
      <c r="E100" s="15" t="str">
        <f>MID(B100,7,6)</f>
        <v>67890-</v>
      </c>
    </row>
    <row r="103" spans="1:10" ht="18">
      <c r="A103" s="1" t="s">
        <v>91</v>
      </c>
      <c r="B103" s="1"/>
      <c r="C103" s="1"/>
      <c r="D103" s="1"/>
      <c r="E103" s="1"/>
      <c r="F103" s="1"/>
      <c r="G103" s="1"/>
      <c r="H103" s="1"/>
      <c r="I103" s="17"/>
    </row>
    <row r="105" spans="1:10" ht="15.6">
      <c r="B105" s="14" t="s">
        <v>92</v>
      </c>
      <c r="C105" s="14"/>
      <c r="D105" s="14"/>
      <c r="E105" s="14"/>
      <c r="F105" s="14"/>
      <c r="G105" s="14"/>
      <c r="H105" s="14"/>
      <c r="I105" s="14"/>
      <c r="J105" s="16"/>
    </row>
    <row r="106" spans="1:10" ht="15.6">
      <c r="B106" s="14" t="s">
        <v>93</v>
      </c>
      <c r="C106" s="14"/>
      <c r="D106" s="14"/>
      <c r="E106" s="14"/>
      <c r="F106" s="14"/>
      <c r="G106" s="14"/>
      <c r="H106" s="14"/>
      <c r="I106" s="14"/>
      <c r="J106" s="16"/>
    </row>
    <row r="107" spans="1:10" ht="15.6">
      <c r="B107" s="14" t="s">
        <v>94</v>
      </c>
      <c r="C107" s="14"/>
      <c r="D107" s="14"/>
      <c r="E107" s="14"/>
      <c r="F107" s="14"/>
      <c r="G107" s="14"/>
      <c r="H107" s="14"/>
      <c r="I107" s="14"/>
      <c r="J107" s="16"/>
    </row>
    <row r="108" spans="1:10" ht="15.6">
      <c r="B108" s="14" t="s">
        <v>95</v>
      </c>
      <c r="C108" s="14"/>
      <c r="D108" s="14"/>
      <c r="E108" s="14"/>
      <c r="F108" s="14"/>
      <c r="G108" s="14"/>
      <c r="H108" s="14"/>
      <c r="I108" s="14"/>
      <c r="J108" s="16"/>
    </row>
    <row r="109" spans="1:10" ht="15.6">
      <c r="B109" s="14" t="s">
        <v>96</v>
      </c>
      <c r="C109" s="14"/>
      <c r="D109" s="14"/>
      <c r="E109" s="14"/>
      <c r="F109" s="14"/>
      <c r="G109" s="14"/>
      <c r="H109" s="14"/>
      <c r="I109" s="14"/>
      <c r="J109" s="16"/>
    </row>
    <row r="111" spans="1:10" ht="15.6">
      <c r="A111" s="5" t="s">
        <v>112</v>
      </c>
      <c r="B111" s="5" t="s">
        <v>97</v>
      </c>
      <c r="C111" s="5" t="s">
        <v>98</v>
      </c>
      <c r="D111" s="15" t="str">
        <f>CONCATENATE(B111," ",C111)</f>
        <v>Hello World</v>
      </c>
      <c r="E111" s="5"/>
      <c r="F111" s="5"/>
      <c r="G111" s="5"/>
    </row>
    <row r="112" spans="1:10" ht="15.6">
      <c r="A112" s="5"/>
      <c r="B112" s="5"/>
      <c r="C112" s="5"/>
      <c r="D112" s="5"/>
      <c r="E112" s="5"/>
      <c r="F112" s="5"/>
      <c r="G112" s="5"/>
    </row>
    <row r="113" spans="1:13" ht="15.6">
      <c r="A113" s="5">
        <v>2</v>
      </c>
      <c r="B113" s="5" t="s">
        <v>113</v>
      </c>
      <c r="C113" s="5" t="s">
        <v>114</v>
      </c>
      <c r="D113" s="5" t="s">
        <v>115</v>
      </c>
      <c r="E113" s="15" t="str">
        <f>_xlfn.TEXTJOIN(",",TRUE,B113,C113,D113)</f>
        <v>Apple,Banana,Cherry</v>
      </c>
      <c r="F113" s="15"/>
      <c r="G113" s="5"/>
    </row>
    <row r="114" spans="1:13" ht="15.6">
      <c r="A114" s="5"/>
      <c r="B114" s="5"/>
      <c r="C114" s="5"/>
      <c r="D114" s="5"/>
      <c r="E114" s="5"/>
      <c r="F114" s="5"/>
      <c r="G114" s="5"/>
    </row>
    <row r="115" spans="1:13" ht="15.6">
      <c r="A115" s="5">
        <v>3</v>
      </c>
      <c r="B115" s="5">
        <v>2025</v>
      </c>
      <c r="C115" s="5" t="s">
        <v>99</v>
      </c>
      <c r="D115" s="5" t="s">
        <v>100</v>
      </c>
      <c r="E115" s="15" t="str">
        <f>B115&amp;C115&amp;" "&amp;D115</f>
        <v>2025: Excel Functions</v>
      </c>
      <c r="F115" s="15"/>
      <c r="G115" s="5"/>
    </row>
    <row r="116" spans="1:13" ht="15.6">
      <c r="A116" s="5"/>
      <c r="B116" s="5"/>
      <c r="C116" s="5"/>
      <c r="D116" s="5"/>
      <c r="E116" s="5"/>
      <c r="F116" s="5"/>
      <c r="G116" s="5"/>
    </row>
    <row r="117" spans="1:13" ht="15.6">
      <c r="A117" s="5">
        <v>4</v>
      </c>
      <c r="B117" s="5" t="s">
        <v>116</v>
      </c>
      <c r="C117" s="5"/>
      <c r="D117" s="5"/>
      <c r="E117" s="5"/>
      <c r="F117" s="5" t="s">
        <v>113</v>
      </c>
      <c r="G117" s="5"/>
    </row>
    <row r="118" spans="1:13" ht="15.6">
      <c r="A118" s="5"/>
      <c r="B118" s="5"/>
      <c r="C118" s="5"/>
      <c r="D118" s="5"/>
      <c r="E118" s="5"/>
      <c r="F118" s="5" t="s">
        <v>114</v>
      </c>
      <c r="G118" s="5"/>
    </row>
    <row r="119" spans="1:13" ht="15.6">
      <c r="A119" s="5"/>
      <c r="B119" s="5"/>
      <c r="C119" s="5"/>
      <c r="D119" s="5"/>
      <c r="E119" s="5"/>
      <c r="F119" s="5" t="s">
        <v>117</v>
      </c>
      <c r="G119" s="5"/>
    </row>
    <row r="120" spans="1:13" ht="15.6">
      <c r="A120" s="5"/>
      <c r="B120" s="5"/>
      <c r="C120" s="5"/>
      <c r="D120" s="5"/>
      <c r="E120" s="5"/>
      <c r="F120" s="5" t="s">
        <v>118</v>
      </c>
      <c r="G120" s="5"/>
    </row>
    <row r="121" spans="1:13" ht="15.6">
      <c r="A121" s="5"/>
      <c r="B121" s="5"/>
      <c r="C121" s="5"/>
      <c r="D121" s="5"/>
      <c r="E121" s="5"/>
      <c r="F121" s="5" t="s">
        <v>119</v>
      </c>
      <c r="G121" s="5"/>
    </row>
    <row r="122" spans="1:13" ht="15.6">
      <c r="A122" s="5"/>
      <c r="B122" s="5"/>
      <c r="C122" s="5"/>
      <c r="D122" s="5"/>
      <c r="E122" s="5"/>
      <c r="F122" s="5"/>
      <c r="G122" s="5"/>
    </row>
    <row r="123" spans="1:13" ht="15.6">
      <c r="A123" s="5"/>
      <c r="B123" s="5"/>
      <c r="C123" s="5"/>
      <c r="D123" s="5"/>
      <c r="E123" s="15" t="str">
        <f>_xlfn.TEXTJOIN(",",TRUE,F117:F121)</f>
        <v>Apple,Banana,Guava,Orange,Kiwi</v>
      </c>
      <c r="F123" s="15"/>
      <c r="G123" s="15"/>
      <c r="M123" t="s">
        <v>129</v>
      </c>
    </row>
    <row r="124" spans="1:13" ht="15.6">
      <c r="A124" s="5"/>
      <c r="B124" s="5"/>
      <c r="C124" s="5"/>
      <c r="D124" s="5"/>
      <c r="E124" s="5"/>
      <c r="F124" s="5"/>
      <c r="G124" s="5"/>
    </row>
    <row r="125" spans="1:13" ht="15.6">
      <c r="A125" s="5">
        <v>5</v>
      </c>
      <c r="B125" s="5"/>
      <c r="C125" s="5" t="s">
        <v>120</v>
      </c>
      <c r="D125" s="5" t="s">
        <v>121</v>
      </c>
      <c r="E125" s="5"/>
      <c r="F125" s="5" t="s">
        <v>122</v>
      </c>
      <c r="G125" s="5"/>
    </row>
    <row r="126" spans="1:13" ht="15.6">
      <c r="A126" s="5"/>
      <c r="B126" s="5"/>
      <c r="C126" s="5" t="s">
        <v>123</v>
      </c>
      <c r="D126" s="5" t="s">
        <v>124</v>
      </c>
      <c r="E126" s="5"/>
      <c r="F126" s="15" t="str">
        <f>$C126&amp;" "&amp;$D126</f>
        <v>Ani Grover</v>
      </c>
      <c r="G126" s="15"/>
    </row>
    <row r="127" spans="1:13" ht="15.6">
      <c r="A127" s="5"/>
      <c r="B127" s="5"/>
      <c r="C127" s="5" t="s">
        <v>44</v>
      </c>
      <c r="D127" s="5" t="s">
        <v>45</v>
      </c>
      <c r="E127" s="5"/>
      <c r="F127" s="15" t="str">
        <f>$C127&amp;" "&amp;$D127</f>
        <v>Physics Wallah</v>
      </c>
      <c r="G127" s="15"/>
    </row>
    <row r="128" spans="1:13" ht="15.6">
      <c r="A128" s="5"/>
      <c r="B128" s="5"/>
      <c r="C128" s="5" t="s">
        <v>125</v>
      </c>
      <c r="D128" s="5" t="s">
        <v>126</v>
      </c>
      <c r="E128" s="5"/>
      <c r="F128" s="15" t="str">
        <f t="shared" ref="F128:F129" si="0">$C128&amp;" "&amp;$D128</f>
        <v>Apoorva Singh</v>
      </c>
      <c r="G128" s="15"/>
    </row>
    <row r="129" spans="1:14" ht="15.6">
      <c r="A129" s="5"/>
      <c r="B129" s="5"/>
      <c r="C129" s="5" t="s">
        <v>127</v>
      </c>
      <c r="D129" s="5" t="s">
        <v>128</v>
      </c>
      <c r="E129" s="5"/>
      <c r="F129" s="15" t="str">
        <f t="shared" si="0"/>
        <v>Sam Grini</v>
      </c>
      <c r="G129" s="15"/>
    </row>
    <row r="132" spans="1:14" ht="18">
      <c r="A132" s="1" t="s">
        <v>101</v>
      </c>
      <c r="B132" s="1"/>
      <c r="C132" s="1"/>
      <c r="D132" s="1"/>
      <c r="E132" s="2"/>
    </row>
    <row r="133" spans="1:14" ht="18">
      <c r="A133" s="18"/>
      <c r="B133" s="14" t="s">
        <v>103</v>
      </c>
      <c r="C133" s="19"/>
      <c r="D133" s="19"/>
      <c r="E133" s="14"/>
      <c r="F133" s="14"/>
      <c r="G133" s="14"/>
      <c r="H133" s="14"/>
      <c r="I133" s="14"/>
      <c r="J133" s="14"/>
      <c r="K133" s="14"/>
      <c r="L133" s="14"/>
      <c r="M133" s="14"/>
    </row>
    <row r="134" spans="1:14" ht="18">
      <c r="A134" s="18"/>
      <c r="B134" s="14" t="s">
        <v>104</v>
      </c>
      <c r="C134" s="19"/>
      <c r="D134" s="19"/>
      <c r="E134" s="14"/>
      <c r="F134" s="14"/>
      <c r="G134" s="14"/>
      <c r="H134" s="14"/>
      <c r="I134" s="14"/>
      <c r="J134" s="14"/>
      <c r="K134" s="14"/>
      <c r="L134" s="14"/>
      <c r="M134" s="14"/>
    </row>
    <row r="135" spans="1:14" ht="18">
      <c r="A135" s="18"/>
      <c r="B135" s="14" t="s">
        <v>105</v>
      </c>
      <c r="C135" s="19"/>
      <c r="D135" s="19"/>
      <c r="E135" s="14"/>
      <c r="F135" s="14"/>
      <c r="G135" s="14"/>
      <c r="H135" s="14"/>
      <c r="I135" s="14"/>
      <c r="J135" s="14"/>
      <c r="K135" s="14"/>
      <c r="L135" s="14"/>
      <c r="M135" s="14"/>
    </row>
    <row r="136" spans="1:14" ht="18">
      <c r="A136" s="18"/>
      <c r="B136" s="14" t="s">
        <v>106</v>
      </c>
      <c r="C136" s="19"/>
      <c r="D136" s="19"/>
      <c r="E136" s="14"/>
      <c r="F136" s="14"/>
      <c r="G136" s="14"/>
      <c r="H136" s="14"/>
      <c r="I136" s="14"/>
      <c r="J136" s="14"/>
      <c r="K136" s="14"/>
      <c r="L136" s="14"/>
      <c r="M136" s="14"/>
    </row>
    <row r="137" spans="1:14" ht="18">
      <c r="A137" s="18"/>
      <c r="B137" s="14" t="s">
        <v>107</v>
      </c>
      <c r="C137" s="19"/>
      <c r="D137" s="19"/>
      <c r="E137" s="14"/>
      <c r="F137" s="14"/>
      <c r="G137" s="14"/>
      <c r="H137" s="14"/>
      <c r="I137" s="14"/>
      <c r="J137" s="14"/>
      <c r="K137" s="14"/>
      <c r="L137" s="14"/>
      <c r="M137" s="14"/>
    </row>
    <row r="139" spans="1:14" ht="15.6">
      <c r="A139" s="5" t="s">
        <v>33</v>
      </c>
      <c r="B139" s="20" t="s">
        <v>108</v>
      </c>
      <c r="C139" s="15"/>
      <c r="D139" s="15"/>
      <c r="E139" s="15"/>
      <c r="F139" s="15" t="s">
        <v>39</v>
      </c>
      <c r="G139" s="21">
        <f ca="1">TODAY()</f>
        <v>46002</v>
      </c>
      <c r="H139" s="15"/>
      <c r="I139" s="15"/>
      <c r="J139" s="15"/>
      <c r="K139" s="15"/>
      <c r="L139" s="15"/>
      <c r="M139" s="15"/>
      <c r="N139" s="23"/>
    </row>
    <row r="140" spans="1:14" ht="15.6">
      <c r="B140" s="15"/>
      <c r="C140" s="15"/>
      <c r="D140" s="15"/>
      <c r="E140" s="15"/>
      <c r="F140" s="15"/>
      <c r="G140" s="15"/>
      <c r="H140" s="15"/>
      <c r="I140" s="15"/>
      <c r="J140" s="15"/>
      <c r="K140" s="15"/>
      <c r="L140" s="15"/>
      <c r="M140" s="15"/>
      <c r="N140" s="23"/>
    </row>
    <row r="141" spans="1:14" ht="15.6">
      <c r="B141" s="20" t="s">
        <v>102</v>
      </c>
      <c r="C141" s="15"/>
      <c r="D141" s="15"/>
      <c r="E141" s="15"/>
      <c r="F141" s="15"/>
      <c r="G141" s="22">
        <f ca="1">NOW()</f>
        <v>46002.915304166665</v>
      </c>
      <c r="H141" s="15"/>
      <c r="I141" s="15"/>
      <c r="J141" s="15"/>
      <c r="K141" s="15"/>
      <c r="L141" s="15"/>
      <c r="M141" s="15"/>
      <c r="N141" s="23"/>
    </row>
    <row r="142" spans="1:14" ht="15.6">
      <c r="B142" s="15"/>
      <c r="C142" s="15"/>
      <c r="D142" s="15"/>
      <c r="E142" s="15"/>
      <c r="F142" s="15"/>
      <c r="G142" s="15"/>
      <c r="H142" s="15"/>
      <c r="I142" s="15"/>
      <c r="J142" s="15"/>
      <c r="K142" s="15"/>
      <c r="L142" s="15"/>
      <c r="M142" s="15"/>
      <c r="N142" s="23"/>
    </row>
    <row r="143" spans="1:14" ht="15.6">
      <c r="B143" s="15"/>
      <c r="C143" s="15"/>
      <c r="D143" s="15"/>
      <c r="E143" s="15"/>
      <c r="F143" s="15"/>
      <c r="G143" s="15"/>
      <c r="H143" s="15"/>
      <c r="I143" s="15"/>
      <c r="J143" s="15"/>
      <c r="K143" s="15"/>
      <c r="L143" s="15"/>
      <c r="M143" s="15"/>
      <c r="N143" s="23"/>
    </row>
    <row r="144" spans="1:14" ht="15.6">
      <c r="B144" s="20">
        <v>2</v>
      </c>
      <c r="C144" s="21">
        <v>45818</v>
      </c>
      <c r="D144" s="21">
        <v>46001</v>
      </c>
      <c r="E144" s="15"/>
      <c r="F144" s="15" t="s">
        <v>109</v>
      </c>
      <c r="G144" s="15">
        <f>D144-C144</f>
        <v>183</v>
      </c>
      <c r="H144" s="15"/>
      <c r="I144" s="15"/>
      <c r="J144" s="15"/>
      <c r="K144" s="15"/>
      <c r="L144" s="15"/>
      <c r="M144" s="15"/>
      <c r="N144" s="23"/>
    </row>
    <row r="145" spans="2:14" ht="15.6">
      <c r="B145" s="15"/>
      <c r="C145" s="15"/>
      <c r="D145" s="15"/>
      <c r="E145" s="15"/>
      <c r="F145" s="15"/>
      <c r="G145" s="15"/>
      <c r="H145" s="15"/>
      <c r="I145" s="15"/>
      <c r="J145" s="15"/>
      <c r="K145" s="15"/>
      <c r="L145" s="15"/>
      <c r="M145" s="15"/>
      <c r="N145" s="23"/>
    </row>
    <row r="146" spans="2:14" ht="15.6">
      <c r="B146" s="20">
        <v>3</v>
      </c>
      <c r="C146" s="25">
        <f ca="1">NOW()</f>
        <v>46002.915304166665</v>
      </c>
      <c r="D146" s="15"/>
      <c r="E146" s="15"/>
      <c r="F146" s="15"/>
      <c r="G146" s="15"/>
      <c r="H146" s="15"/>
      <c r="I146" s="15"/>
      <c r="J146" s="15"/>
      <c r="K146" s="15"/>
      <c r="L146" s="15"/>
      <c r="M146" s="15"/>
      <c r="N146" s="23"/>
    </row>
    <row r="147" spans="2:14" ht="15.6">
      <c r="B147" s="15"/>
      <c r="C147" s="15"/>
      <c r="D147" s="15"/>
      <c r="E147" s="15"/>
      <c r="F147" s="15"/>
      <c r="G147" s="15"/>
      <c r="H147" s="15"/>
      <c r="I147" s="15"/>
      <c r="J147" s="15"/>
      <c r="K147" s="15"/>
      <c r="L147" s="15"/>
      <c r="M147" s="15"/>
      <c r="N147" s="23"/>
    </row>
    <row r="148" spans="2:14" ht="15.6">
      <c r="B148" s="15" t="s">
        <v>110</v>
      </c>
      <c r="C148" s="15"/>
      <c r="D148" s="15"/>
      <c r="E148" s="15"/>
      <c r="F148" s="15"/>
      <c r="G148" s="15"/>
      <c r="H148" s="15"/>
      <c r="I148" s="15"/>
      <c r="J148" s="15"/>
      <c r="K148" s="15"/>
      <c r="L148" s="15"/>
      <c r="M148" s="15"/>
      <c r="N148" s="23"/>
    </row>
    <row r="149" spans="2:14" ht="15.6">
      <c r="B149" s="15"/>
      <c r="C149" s="15"/>
      <c r="D149" s="15"/>
      <c r="E149" s="15"/>
      <c r="F149" s="15"/>
      <c r="G149" s="15"/>
      <c r="H149" s="15"/>
      <c r="I149" s="15"/>
      <c r="J149" s="15"/>
      <c r="K149" s="15"/>
      <c r="L149" s="15"/>
      <c r="M149" s="15"/>
      <c r="N149" s="23"/>
    </row>
    <row r="150" spans="2:14" ht="15.6">
      <c r="B150" s="15" t="s">
        <v>111</v>
      </c>
      <c r="C150" s="15"/>
      <c r="D150" s="15"/>
      <c r="E150" s="15"/>
      <c r="F150" s="15"/>
      <c r="G150" s="15"/>
      <c r="H150" s="15"/>
      <c r="I150" s="15"/>
      <c r="J150" s="15"/>
      <c r="K150" s="15"/>
      <c r="L150" s="15"/>
      <c r="M150" s="15"/>
      <c r="N150" s="23"/>
    </row>
  </sheetData>
  <sortState xmlns:xlrd2="http://schemas.microsoft.com/office/spreadsheetml/2017/richdata2" ref="D33:F35">
    <sortCondition ref="E33:E35"/>
    <sortCondition descending="1" ref="F33:F35"/>
  </sortState>
  <dataValidations count="1">
    <dataValidation type="whole" allowBlank="1" showInputMessage="1" showErrorMessage="1" error="Invalid input! The quantity must be a whole number between 1 and 10." prompt="Please enter a whole number between 1 and 10." sqref="F75:F83" xr:uid="{0EAE8140-A8C6-49ED-96AE-BDCB9C494322}">
      <formula1>1</formula1>
      <formula2>10</formula2>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thakuranshi405@gmail.com</dc:creator>
  <cp:lastModifiedBy>thakuranshi405@gmail.com</cp:lastModifiedBy>
  <cp:lastPrinted>2025-12-11T16:28:23Z</cp:lastPrinted>
  <dcterms:created xsi:type="dcterms:W3CDTF">2025-12-09T16:16:34Z</dcterms:created>
  <dcterms:modified xsi:type="dcterms:W3CDTF">2025-12-11T16:28:32Z</dcterms:modified>
</cp:coreProperties>
</file>