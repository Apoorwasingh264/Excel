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Documents/"/>
    </mc:Choice>
  </mc:AlternateContent>
  <xr:revisionPtr revIDLastSave="149" documentId="8_{13C702D6-882E-4751-B30D-24DDE4244DC6}" xr6:coauthVersionLast="47" xr6:coauthVersionMax="47" xr10:uidLastSave="{BB37D826-8588-40D3-A0EE-8FA696002698}"/>
  <bookViews>
    <workbookView xWindow="-108" yWindow="-108" windowWidth="23256" windowHeight="12456" xr2:uid="{9B9FA73D-1111-4CB9-9A21-1B0F1F960944}"/>
  </bookViews>
  <sheets>
    <sheet name="Solution" sheetId="1" r:id="rId1"/>
  </sheets>
  <definedNames>
    <definedName name="_xlchart.v1.0" hidden="1">Solution!$B$37:$B$136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0" i="1" l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J1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" i="1"/>
</calcChain>
</file>

<file path=xl/sharedStrings.xml><?xml version="1.0" encoding="utf-8"?>
<sst xmlns="http://schemas.openxmlformats.org/spreadsheetml/2006/main" count="78" uniqueCount="74">
  <si>
    <t>Ques 1- Stimulate 30 rolls with =RANDBETWEEN(1,6). What is the probability of rolling a 3 exactly 5 times? (Hint: Use
BINOM.DIST)</t>
  </si>
  <si>
    <t>Sol-</t>
  </si>
  <si>
    <r>
      <t xml:space="preserve">Number of trials (n) = </t>
    </r>
    <r>
      <rPr>
        <b/>
        <sz val="11"/>
        <color theme="1"/>
        <rFont val="Calibri"/>
        <family val="2"/>
        <scheme val="minor"/>
      </rPr>
      <t>30</t>
    </r>
  </si>
  <si>
    <r>
      <t xml:space="preserve">Number of successes (x) = </t>
    </r>
    <r>
      <rPr>
        <b/>
        <sz val="11"/>
        <color theme="1"/>
        <rFont val="Calibri"/>
        <family val="2"/>
        <scheme val="minor"/>
      </rPr>
      <t>5</t>
    </r>
  </si>
  <si>
    <r>
      <t xml:space="preserve">Probability of success (p) = </t>
    </r>
    <r>
      <rPr>
        <b/>
        <sz val="11"/>
        <color theme="1"/>
        <rFont val="Calibri"/>
        <family val="2"/>
        <scheme val="minor"/>
      </rPr>
      <t>1/6</t>
    </r>
    <r>
      <rPr>
        <sz val="11"/>
        <color theme="1"/>
        <rFont val="Calibri"/>
        <family val="2"/>
        <scheme val="minor"/>
      </rPr>
      <t xml:space="preserve"> (chance of getting a 3)</t>
    </r>
  </si>
  <si>
    <r>
      <t xml:space="preserve">Exact probability → </t>
    </r>
    <r>
      <rPr>
        <b/>
        <sz val="11"/>
        <color theme="1"/>
        <rFont val="Calibri"/>
        <family val="2"/>
        <scheme val="minor"/>
      </rPr>
      <t>FALSE</t>
    </r>
  </si>
  <si>
    <t xml:space="preserve"> Probability of rolling a 3 exactly 5 times</t>
  </si>
  <si>
    <t>Ques 2- Generate 100 values in Excel using the continuous uniform distribution RAND() and plot a histogram.
Describe the shape of the distribution.</t>
  </si>
  <si>
    <t xml:space="preserve">Sol- </t>
  </si>
  <si>
    <r>
      <t xml:space="preserve">The histogram of 100 values generated using the RAND() function shows an approximately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>. The data is evenly spread between 0 and 1, resulting in a nearly flat histogram. There is no clustering around any particular value, indicating that all values are equally likely.</t>
    </r>
  </si>
  <si>
    <t>Ques 3- A dataset has a mean of 50 and a standard deviation of 5. What percentage of values lie between 45 and
55 if the data follows a normal distribution?</t>
  </si>
  <si>
    <r>
      <t xml:space="preserve">Since 45 and 55 are one standard deviation below and above the mean respectively, approximately </t>
    </r>
    <r>
      <rPr>
        <b/>
        <sz val="11"/>
        <color theme="1"/>
        <rFont val="Calibri"/>
        <family val="2"/>
        <scheme val="minor"/>
      </rPr>
      <t>68% of the values</t>
    </r>
    <r>
      <rPr>
        <sz val="11"/>
        <color theme="1"/>
        <rFont val="Calibri"/>
        <family val="2"/>
        <scheme val="minor"/>
      </rPr>
      <t xml:space="preserve"> lie between 45 and 55.</t>
    </r>
  </si>
  <si>
    <t>Convert to standard deviation units</t>
  </si>
  <si>
    <r>
      <t xml:space="preserve">So the range </t>
    </r>
    <r>
      <rPr>
        <b/>
        <sz val="11"/>
        <color theme="1"/>
        <rFont val="Calibri"/>
        <family val="2"/>
        <scheme val="minor"/>
      </rPr>
      <t>45 to 55 = within ±1 standard deviation of the mean</t>
    </r>
    <r>
      <rPr>
        <sz val="11"/>
        <color theme="1"/>
        <rFont val="Calibri"/>
        <family val="2"/>
        <scheme val="minor"/>
      </rPr>
      <t>.</t>
    </r>
  </si>
  <si>
    <t>45=50−5=μ−1σ</t>
  </si>
  <si>
    <t>55=50+5=μ+1σ</t>
  </si>
  <si>
    <r>
      <t xml:space="preserve">For a </t>
    </r>
    <r>
      <rPr>
        <b/>
        <sz val="11"/>
        <color theme="1"/>
        <rFont val="Calibri"/>
        <family val="2"/>
        <scheme val="minor"/>
      </rPr>
      <t>normal distribution</t>
    </r>
    <r>
      <rPr>
        <sz val="11"/>
        <color theme="1"/>
        <rFont val="Calibri"/>
        <family val="2"/>
        <scheme val="minor"/>
      </rPr>
      <t>:</t>
    </r>
  </si>
  <si>
    <r>
      <t xml:space="preserve">About </t>
    </r>
    <r>
      <rPr>
        <b/>
        <sz val="11"/>
        <color theme="1"/>
        <rFont val="Calibri"/>
        <family val="2"/>
        <scheme val="minor"/>
      </rPr>
      <t>68%</t>
    </r>
    <r>
      <rPr>
        <sz val="11"/>
        <color theme="1"/>
        <rFont val="Calibri"/>
        <family val="2"/>
        <scheme val="minor"/>
      </rPr>
      <t xml:space="preserve"> of the data lies within </t>
    </r>
    <r>
      <rPr>
        <b/>
        <sz val="11"/>
        <color theme="1"/>
        <rFont val="Calibri"/>
        <family val="2"/>
        <scheme val="minor"/>
      </rPr>
      <t>±1σ</t>
    </r>
    <r>
      <rPr>
        <sz val="11"/>
        <color theme="1"/>
        <rFont val="Calibri"/>
        <family val="2"/>
        <scheme val="minor"/>
      </rPr>
      <t xml:space="preserve"> of the mean.</t>
    </r>
  </si>
  <si>
    <t>Concept of Standardization (Z-score)</t>
  </si>
  <si>
    <r>
      <t>Standardization</t>
    </r>
    <r>
      <rPr>
        <sz val="11"/>
        <color theme="1"/>
        <rFont val="Calibri"/>
        <family val="2"/>
        <scheme val="minor"/>
      </rPr>
      <t xml:space="preserve"> is the process of converting original data values into </t>
    </r>
    <r>
      <rPr>
        <b/>
        <sz val="11"/>
        <color theme="1"/>
        <rFont val="Calibri"/>
        <family val="2"/>
        <scheme val="minor"/>
      </rPr>
      <t>z-scores</t>
    </r>
    <r>
      <rPr>
        <sz val="11"/>
        <color theme="1"/>
        <rFont val="Calibri"/>
        <family val="2"/>
        <scheme val="minor"/>
      </rPr>
      <t xml:space="preserve"> so that the dataset has:</t>
    </r>
  </si>
  <si>
    <t>Mean = 0</t>
  </si>
  <si>
    <t>Standard deviation = 1</t>
  </si>
  <si>
    <r>
      <t xml:space="preserve">A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tells us </t>
    </r>
    <r>
      <rPr>
        <b/>
        <sz val="11"/>
        <color theme="1"/>
        <rFont val="Calibri"/>
        <family val="2"/>
        <scheme val="minor"/>
      </rPr>
      <t>how many standard deviations</t>
    </r>
    <r>
      <rPr>
        <sz val="11"/>
        <color theme="1"/>
        <rFont val="Calibri"/>
        <family val="2"/>
        <scheme val="minor"/>
      </rPr>
      <t xml:space="preserve"> a value is </t>
    </r>
    <r>
      <rPr>
        <b/>
        <sz val="11"/>
        <color theme="1"/>
        <rFont val="Calibri"/>
        <family val="2"/>
        <scheme val="minor"/>
      </rPr>
      <t>above or below the mean</t>
    </r>
    <r>
      <rPr>
        <sz val="11"/>
        <color theme="1"/>
        <rFont val="Calibri"/>
        <family val="2"/>
        <scheme val="minor"/>
      </rPr>
      <t>.</t>
    </r>
  </si>
  <si>
    <t>Z-score Formula</t>
  </si>
  <si>
    <t>Where:</t>
  </si>
  <si>
    <t>z= x-mew/sigma</t>
  </si>
  <si>
    <t>X = original value</t>
  </si>
  <si>
    <t>μ\mew = mean of the dataset</t>
  </si>
  <si>
    <t>sigma = standard deviation</t>
  </si>
  <si>
    <t>z = z-score (standardized value)</t>
  </si>
  <si>
    <t>How Standardization Transforms a Dataset</t>
  </si>
  <si>
    <t>After standardization:</t>
  </si>
  <si>
    <r>
      <t xml:space="preserve">The </t>
    </r>
    <r>
      <rPr>
        <b/>
        <sz val="11"/>
        <color theme="1"/>
        <rFont val="Calibri"/>
        <family val="2"/>
        <scheme val="minor"/>
      </rPr>
      <t>shape of the distribution remains the same</t>
    </r>
  </si>
  <si>
    <r>
      <t xml:space="preserve">The </t>
    </r>
    <r>
      <rPr>
        <b/>
        <sz val="11"/>
        <color theme="1"/>
        <rFont val="Calibri"/>
        <family val="2"/>
        <scheme val="minor"/>
      </rPr>
      <t>scale changes</t>
    </r>
  </si>
  <si>
    <r>
      <t xml:space="preserve">Mean becomes </t>
    </r>
    <r>
      <rPr>
        <b/>
        <sz val="11"/>
        <color theme="1"/>
        <rFont val="Calibri"/>
        <family val="2"/>
        <scheme val="minor"/>
      </rPr>
      <t>0</t>
    </r>
  </si>
  <si>
    <r>
      <t xml:space="preserve">Standard deviation becomes </t>
    </r>
    <r>
      <rPr>
        <b/>
        <sz val="11"/>
        <color theme="1"/>
        <rFont val="Calibri"/>
        <family val="2"/>
        <scheme val="minor"/>
      </rPr>
      <t>1</t>
    </r>
  </si>
  <si>
    <r>
      <t xml:space="preserve">Values are now expressed in </t>
    </r>
    <r>
      <rPr>
        <b/>
        <sz val="11"/>
        <color theme="1"/>
        <rFont val="Calibri"/>
        <family val="2"/>
        <scheme val="minor"/>
      </rPr>
      <t>standard deviation units</t>
    </r>
  </si>
  <si>
    <t>Why Standardization is Important in Data Analysis</t>
  </si>
  <si>
    <t>1. Comparison across datasets</t>
  </si>
  <si>
    <r>
      <t xml:space="preserve">Allows comparison of values measured on </t>
    </r>
    <r>
      <rPr>
        <b/>
        <sz val="11"/>
        <color theme="1"/>
        <rFont val="Calibri"/>
        <family val="2"/>
        <scheme val="minor"/>
      </rPr>
      <t>different scales</t>
    </r>
    <r>
      <rPr>
        <sz val="11"/>
        <color theme="1"/>
        <rFont val="Calibri"/>
        <family val="2"/>
        <scheme val="minor"/>
      </rPr>
      <t>.</t>
    </r>
  </si>
  <si>
    <t>2. Identifying outliers</t>
  </si>
  <si>
    <r>
      <t xml:space="preserve">Very high or low z-scores indicate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>.</t>
    </r>
  </si>
  <si>
    <t>3. Used in statistical analysis</t>
  </si>
  <si>
    <r>
      <t xml:space="preserve">Required in </t>
    </r>
    <r>
      <rPr>
        <b/>
        <sz val="11"/>
        <color theme="1"/>
        <rFont val="Calibri"/>
        <family val="2"/>
        <scheme val="minor"/>
      </rPr>
      <t>normal distribution, probability calculations, and hypothesis testing</t>
    </r>
    <r>
      <rPr>
        <sz val="11"/>
        <color theme="1"/>
        <rFont val="Calibri"/>
        <family val="2"/>
        <scheme val="minor"/>
      </rPr>
      <t>.</t>
    </r>
  </si>
  <si>
    <t>Ques 4- What is the concept of standardization (z-score), and why is it important in data analysis? Explain the 
formula and how standardization transforms a dataset.</t>
  </si>
  <si>
    <t>Ques 5- What is Kurtosis and their type?</t>
  </si>
  <si>
    <r>
      <t>Kurtosis</t>
    </r>
    <r>
      <rPr>
        <sz val="11"/>
        <color theme="1"/>
        <rFont val="Calibri"/>
        <family val="2"/>
        <scheme val="minor"/>
      </rPr>
      <t xml:space="preserve"> is a statistical measure that describes the </t>
    </r>
    <r>
      <rPr>
        <b/>
        <sz val="11"/>
        <color theme="1"/>
        <rFont val="Calibri"/>
        <family val="2"/>
        <scheme val="minor"/>
      </rPr>
      <t>peakedness or flatness</t>
    </r>
    <r>
      <rPr>
        <sz val="11"/>
        <color theme="1"/>
        <rFont val="Calibri"/>
        <family val="2"/>
        <scheme val="minor"/>
      </rPr>
      <t xml:space="preserve"> of a data distribution </t>
    </r>
    <r>
      <rPr>
        <b/>
        <sz val="11"/>
        <color theme="1"/>
        <rFont val="Calibri"/>
        <family val="2"/>
        <scheme val="minor"/>
      </rPr>
      <t>compared to a normal distribution</t>
    </r>
    <r>
      <rPr>
        <sz val="11"/>
        <color theme="1"/>
        <rFont val="Calibri"/>
        <family val="2"/>
        <scheme val="minor"/>
      </rPr>
      <t>.</t>
    </r>
  </si>
  <si>
    <r>
      <t xml:space="preserve">It tells us </t>
    </r>
    <r>
      <rPr>
        <b/>
        <sz val="11"/>
        <color theme="1"/>
        <rFont val="Calibri"/>
        <family val="2"/>
        <scheme val="minor"/>
      </rPr>
      <t>how sharply the data is concentrated around the mean</t>
    </r>
    <r>
      <rPr>
        <sz val="11"/>
        <color theme="1"/>
        <rFont val="Calibri"/>
        <family val="2"/>
        <scheme val="minor"/>
      </rPr>
      <t xml:space="preserve"> and how heavy the </t>
    </r>
    <r>
      <rPr>
        <b/>
        <sz val="11"/>
        <color theme="1"/>
        <rFont val="Calibri"/>
        <family val="2"/>
        <scheme val="minor"/>
      </rPr>
      <t>tails</t>
    </r>
    <r>
      <rPr>
        <sz val="11"/>
        <color theme="1"/>
        <rFont val="Calibri"/>
        <family val="2"/>
        <scheme val="minor"/>
      </rPr>
      <t xml:space="preserve"> of the distribution are.</t>
    </r>
  </si>
  <si>
    <t>Types of Kurtosis</t>
  </si>
  <si>
    <t>Mesokurtic</t>
  </si>
  <si>
    <r>
      <t xml:space="preserve">Shape similar to a </t>
    </r>
    <r>
      <rPr>
        <b/>
        <sz val="11"/>
        <color theme="1"/>
        <rFont val="Calibri"/>
        <family val="2"/>
        <scheme val="minor"/>
      </rPr>
      <t>normal distribution</t>
    </r>
  </si>
  <si>
    <t>Moderate peak and tails</t>
  </si>
  <si>
    <r>
      <t xml:space="preserve">Kurtosis value =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(excess kurtosis = 0)</t>
    </r>
  </si>
  <si>
    <t>Very high peak</t>
  </si>
  <si>
    <t>Heavy tails</t>
  </si>
  <si>
    <t>More extreme values (outliers)</t>
  </si>
  <si>
    <t>Flat or low peak</t>
  </si>
  <si>
    <t>Light tails</t>
  </si>
  <si>
    <t>Fewer extreme values</t>
  </si>
  <si>
    <r>
      <rPr>
        <i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Normal distribution</t>
    </r>
  </si>
  <si>
    <t>Leptokurtic</t>
  </si>
  <si>
    <r>
      <t xml:space="preserve"> </t>
    </r>
    <r>
      <rPr>
        <i/>
        <sz val="11"/>
        <color theme="1"/>
        <rFont val="Calibri"/>
        <family val="2"/>
        <scheme val="minor"/>
      </rPr>
      <t>Kurtosis value &gt; 3</t>
    </r>
  </si>
  <si>
    <r>
      <rPr>
        <i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Financial return data</t>
    </r>
  </si>
  <si>
    <t>Platykurtic</t>
  </si>
  <si>
    <t>Kurtosis value &lt; 3</t>
  </si>
  <si>
    <t>Ques 6- Explain why the uniform distribution is a good model for the outcome of rolling a fair die.</t>
  </si>
  <si>
    <t>Sol- The uniform distribution is a good model for rolling a fair die because all six outcomes are equally likely, each having a probability of 1/6. Since the probabilities are constant over a fixed range, the outcomes follow a uniform distribution.</t>
  </si>
  <si>
    <t>Ques 7- Use Excel to compute the probability of getting at least 8 successes in 15 trials with success probability 0.5</t>
  </si>
  <si>
    <t xml:space="preserve">No. of trials </t>
  </si>
  <si>
    <t>Successes</t>
  </si>
  <si>
    <t>Success Probability</t>
  </si>
  <si>
    <t>Probability of getting at least 8 successes</t>
  </si>
  <si>
    <t>Sol- Log transformation stabilizes variance by compressing large values and reduces right skewness by shortening the long tail. This makes the data more symmetric and closer to a normal distribution, improving statistical analysis.</t>
  </si>
  <si>
    <t>Ques 8- How does log transformation help in stabilizing variance and making data more normally distributed?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</si>
</sst>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Font="1"/>
    <xf numFmtId="0" fontId="1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vertical="center"/>
    </xf>
    <xf numFmtId="0" fontId="0" fillId="4" borderId="0" xfId="0" applyFont="1" applyFill="1"/>
    <xf numFmtId="0" fontId="0" fillId="2" borderId="0" xfId="0" applyFill="1" applyAlignment="1"/>
    <xf numFmtId="0" fontId="2" fillId="5" borderId="0" xfId="0" applyFont="1" applyFill="1" applyAlignment="1">
      <alignment vertical="center"/>
    </xf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36995E69-2666-4AC0-B266-C6AF9AC57CB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37</xdr:row>
      <xdr:rowOff>0</xdr:rowOff>
    </xdr:from>
    <xdr:to>
      <xdr:col>13</xdr:col>
      <xdr:colOff>304800</xdr:colOff>
      <xdr:row>52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127C05F-CA67-4695-8F6D-5567384517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67665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EDBA-8265-47B1-9852-6116621F7980}">
  <dimension ref="A1:AC265"/>
  <sheetViews>
    <sheetView tabSelected="1" topLeftCell="A249" workbookViewId="0">
      <selection activeCell="L269" sqref="L269"/>
    </sheetView>
  </sheetViews>
  <sheetFormatPr defaultRowHeight="14.4" x14ac:dyDescent="0.3"/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3">
      <c r="A3" t="s">
        <v>1</v>
      </c>
      <c r="B3">
        <f ca="1">RANDBETWEEN(1,6)</f>
        <v>2</v>
      </c>
    </row>
    <row r="4" spans="1:12" x14ac:dyDescent="0.3">
      <c r="B4">
        <f t="shared" ref="B4:B33" ca="1" si="0">RANDBETWEEN(1,6)</f>
        <v>3</v>
      </c>
      <c r="F4" t="s">
        <v>2</v>
      </c>
    </row>
    <row r="5" spans="1:12" x14ac:dyDescent="0.3">
      <c r="B5">
        <f t="shared" ca="1" si="0"/>
        <v>4</v>
      </c>
    </row>
    <row r="6" spans="1:12" x14ac:dyDescent="0.3">
      <c r="B6">
        <f t="shared" ca="1" si="0"/>
        <v>1</v>
      </c>
      <c r="F6" t="s">
        <v>3</v>
      </c>
    </row>
    <row r="7" spans="1:12" x14ac:dyDescent="0.3">
      <c r="B7">
        <f t="shared" ca="1" si="0"/>
        <v>5</v>
      </c>
    </row>
    <row r="8" spans="1:12" x14ac:dyDescent="0.3">
      <c r="B8">
        <f t="shared" ca="1" si="0"/>
        <v>2</v>
      </c>
      <c r="F8" t="s">
        <v>4</v>
      </c>
    </row>
    <row r="9" spans="1:12" x14ac:dyDescent="0.3">
      <c r="B9">
        <f t="shared" ca="1" si="0"/>
        <v>4</v>
      </c>
    </row>
    <row r="10" spans="1:12" x14ac:dyDescent="0.3">
      <c r="B10">
        <f t="shared" ca="1" si="0"/>
        <v>2</v>
      </c>
      <c r="F10" t="s">
        <v>5</v>
      </c>
    </row>
    <row r="11" spans="1:12" x14ac:dyDescent="0.3">
      <c r="B11">
        <f t="shared" ca="1" si="0"/>
        <v>1</v>
      </c>
    </row>
    <row r="12" spans="1:12" x14ac:dyDescent="0.3">
      <c r="B12">
        <f t="shared" ca="1" si="0"/>
        <v>1</v>
      </c>
    </row>
    <row r="13" spans="1:12" x14ac:dyDescent="0.3">
      <c r="B13">
        <f t="shared" ca="1" si="0"/>
        <v>2</v>
      </c>
      <c r="F13" s="2" t="s">
        <v>6</v>
      </c>
      <c r="G13" s="2"/>
      <c r="H13" s="2"/>
      <c r="I13" s="2"/>
      <c r="J13" s="2">
        <f>_xlfn.BINOM.DIST(5,30,1/6,FALSE)</f>
        <v>0.19210813105163416</v>
      </c>
    </row>
    <row r="14" spans="1:12" x14ac:dyDescent="0.3">
      <c r="B14">
        <f t="shared" ca="1" si="0"/>
        <v>6</v>
      </c>
    </row>
    <row r="15" spans="1:12" x14ac:dyDescent="0.3">
      <c r="B15">
        <f t="shared" ca="1" si="0"/>
        <v>2</v>
      </c>
    </row>
    <row r="16" spans="1:12" x14ac:dyDescent="0.3">
      <c r="B16">
        <f t="shared" ca="1" si="0"/>
        <v>6</v>
      </c>
    </row>
    <row r="17" spans="2:2" x14ac:dyDescent="0.3">
      <c r="B17">
        <f t="shared" ca="1" si="0"/>
        <v>1</v>
      </c>
    </row>
    <row r="18" spans="2:2" x14ac:dyDescent="0.3">
      <c r="B18">
        <f t="shared" ca="1" si="0"/>
        <v>1</v>
      </c>
    </row>
    <row r="19" spans="2:2" x14ac:dyDescent="0.3">
      <c r="B19">
        <f t="shared" ca="1" si="0"/>
        <v>2</v>
      </c>
    </row>
    <row r="20" spans="2:2" x14ac:dyDescent="0.3">
      <c r="B20">
        <f t="shared" ca="1" si="0"/>
        <v>4</v>
      </c>
    </row>
    <row r="21" spans="2:2" x14ac:dyDescent="0.3">
      <c r="B21">
        <f t="shared" ca="1" si="0"/>
        <v>3</v>
      </c>
    </row>
    <row r="22" spans="2:2" x14ac:dyDescent="0.3">
      <c r="B22">
        <f t="shared" ca="1" si="0"/>
        <v>3</v>
      </c>
    </row>
    <row r="23" spans="2:2" x14ac:dyDescent="0.3">
      <c r="B23">
        <f t="shared" ca="1" si="0"/>
        <v>3</v>
      </c>
    </row>
    <row r="24" spans="2:2" x14ac:dyDescent="0.3">
      <c r="B24">
        <f t="shared" ca="1" si="0"/>
        <v>3</v>
      </c>
    </row>
    <row r="25" spans="2:2" x14ac:dyDescent="0.3">
      <c r="B25">
        <f t="shared" ca="1" si="0"/>
        <v>5</v>
      </c>
    </row>
    <row r="26" spans="2:2" x14ac:dyDescent="0.3">
      <c r="B26">
        <f t="shared" ca="1" si="0"/>
        <v>4</v>
      </c>
    </row>
    <row r="27" spans="2:2" x14ac:dyDescent="0.3">
      <c r="B27">
        <f t="shared" ca="1" si="0"/>
        <v>5</v>
      </c>
    </row>
    <row r="28" spans="2:2" x14ac:dyDescent="0.3">
      <c r="B28">
        <f t="shared" ca="1" si="0"/>
        <v>6</v>
      </c>
    </row>
    <row r="29" spans="2:2" x14ac:dyDescent="0.3">
      <c r="B29">
        <f t="shared" ca="1" si="0"/>
        <v>1</v>
      </c>
    </row>
    <row r="30" spans="2:2" x14ac:dyDescent="0.3">
      <c r="B30">
        <f t="shared" ca="1" si="0"/>
        <v>3</v>
      </c>
    </row>
    <row r="31" spans="2:2" x14ac:dyDescent="0.3">
      <c r="B31">
        <f t="shared" ca="1" si="0"/>
        <v>6</v>
      </c>
    </row>
    <row r="32" spans="2:2" x14ac:dyDescent="0.3">
      <c r="B32">
        <f t="shared" ca="1" si="0"/>
        <v>5</v>
      </c>
    </row>
    <row r="33" spans="1:14" x14ac:dyDescent="0.3">
      <c r="B33">
        <f t="shared" ca="1" si="0"/>
        <v>2</v>
      </c>
    </row>
    <row r="35" spans="1:14" x14ac:dyDescent="0.3">
      <c r="A35" s="1" t="s">
        <v>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7" spans="1:14" x14ac:dyDescent="0.3">
      <c r="A37" t="s">
        <v>8</v>
      </c>
      <c r="B37">
        <f ca="1">RAND()</f>
        <v>0.66368681935503704</v>
      </c>
    </row>
    <row r="38" spans="1:14" x14ac:dyDescent="0.3">
      <c r="B38">
        <f t="shared" ref="B38:B101" ca="1" si="1">RAND()</f>
        <v>0.17661390739604632</v>
      </c>
    </row>
    <row r="39" spans="1:14" x14ac:dyDescent="0.3">
      <c r="B39">
        <f t="shared" ca="1" si="1"/>
        <v>0.85561333806721829</v>
      </c>
    </row>
    <row r="40" spans="1:14" x14ac:dyDescent="0.3">
      <c r="B40">
        <f t="shared" ca="1" si="1"/>
        <v>0.49312105490406577</v>
      </c>
    </row>
    <row r="41" spans="1:14" x14ac:dyDescent="0.3">
      <c r="B41">
        <f t="shared" ca="1" si="1"/>
        <v>0.53058457796909042</v>
      </c>
    </row>
    <row r="42" spans="1:14" x14ac:dyDescent="0.3">
      <c r="B42">
        <f t="shared" ca="1" si="1"/>
        <v>0.22719647896238993</v>
      </c>
    </row>
    <row r="43" spans="1:14" x14ac:dyDescent="0.3">
      <c r="B43">
        <f t="shared" ca="1" si="1"/>
        <v>8.7230509588146488E-3</v>
      </c>
    </row>
    <row r="44" spans="1:14" x14ac:dyDescent="0.3">
      <c r="B44">
        <f t="shared" ca="1" si="1"/>
        <v>0.58217776212939787</v>
      </c>
    </row>
    <row r="45" spans="1:14" x14ac:dyDescent="0.3">
      <c r="B45">
        <f t="shared" ca="1" si="1"/>
        <v>0.47954532567143782</v>
      </c>
    </row>
    <row r="46" spans="1:14" x14ac:dyDescent="0.3">
      <c r="B46">
        <f t="shared" ca="1" si="1"/>
        <v>0.16709065077237906</v>
      </c>
    </row>
    <row r="47" spans="1:14" x14ac:dyDescent="0.3">
      <c r="B47">
        <f t="shared" ca="1" si="1"/>
        <v>0.59713913762024629</v>
      </c>
    </row>
    <row r="48" spans="1:14" x14ac:dyDescent="0.3">
      <c r="B48">
        <f t="shared" ca="1" si="1"/>
        <v>0.99622337847150788</v>
      </c>
    </row>
    <row r="49" spans="2:29" x14ac:dyDescent="0.3">
      <c r="B49">
        <f t="shared" ca="1" si="1"/>
        <v>0.8262609958768149</v>
      </c>
    </row>
    <row r="50" spans="2:29" x14ac:dyDescent="0.3">
      <c r="B50">
        <f t="shared" ca="1" si="1"/>
        <v>0.96448668273165816</v>
      </c>
    </row>
    <row r="51" spans="2:29" x14ac:dyDescent="0.3">
      <c r="B51">
        <f t="shared" ca="1" si="1"/>
        <v>0.8886449821864395</v>
      </c>
    </row>
    <row r="52" spans="2:29" x14ac:dyDescent="0.3">
      <c r="B52">
        <f t="shared" ca="1" si="1"/>
        <v>0.89212993609228697</v>
      </c>
    </row>
    <row r="53" spans="2:29" x14ac:dyDescent="0.3">
      <c r="B53">
        <f t="shared" ca="1" si="1"/>
        <v>0.17403460555603267</v>
      </c>
    </row>
    <row r="54" spans="2:29" x14ac:dyDescent="0.3">
      <c r="B54">
        <f t="shared" ca="1" si="1"/>
        <v>0.17912848435397721</v>
      </c>
    </row>
    <row r="55" spans="2:29" x14ac:dyDescent="0.3">
      <c r="B55">
        <f t="shared" ca="1" si="1"/>
        <v>0.38018662658614499</v>
      </c>
    </row>
    <row r="56" spans="2:29" x14ac:dyDescent="0.3">
      <c r="B56">
        <f t="shared" ca="1" si="1"/>
        <v>0.78924319677402766</v>
      </c>
      <c r="D56" s="2" t="s">
        <v>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2:29" x14ac:dyDescent="0.3">
      <c r="B57">
        <f t="shared" ca="1" si="1"/>
        <v>3.6327080882441187E-3</v>
      </c>
    </row>
    <row r="58" spans="2:29" x14ac:dyDescent="0.3">
      <c r="B58">
        <f t="shared" ca="1" si="1"/>
        <v>6.9796980994194957E-2</v>
      </c>
    </row>
    <row r="59" spans="2:29" x14ac:dyDescent="0.3">
      <c r="B59">
        <f t="shared" ca="1" si="1"/>
        <v>0.46775768427494668</v>
      </c>
    </row>
    <row r="60" spans="2:29" x14ac:dyDescent="0.3">
      <c r="B60">
        <f t="shared" ca="1" si="1"/>
        <v>0.7085173704267963</v>
      </c>
    </row>
    <row r="61" spans="2:29" x14ac:dyDescent="0.3">
      <c r="B61">
        <f t="shared" ca="1" si="1"/>
        <v>0.81707073076775116</v>
      </c>
    </row>
    <row r="62" spans="2:29" x14ac:dyDescent="0.3">
      <c r="B62">
        <f t="shared" ca="1" si="1"/>
        <v>0.50082280874846319</v>
      </c>
    </row>
    <row r="63" spans="2:29" x14ac:dyDescent="0.3">
      <c r="B63">
        <f t="shared" ca="1" si="1"/>
        <v>0.82446047482728946</v>
      </c>
    </row>
    <row r="64" spans="2:29" x14ac:dyDescent="0.3">
      <c r="B64">
        <f t="shared" ca="1" si="1"/>
        <v>0.28654882919898628</v>
      </c>
    </row>
    <row r="65" spans="2:2" x14ac:dyDescent="0.3">
      <c r="B65">
        <f t="shared" ca="1" si="1"/>
        <v>0.77787045863490067</v>
      </c>
    </row>
    <row r="66" spans="2:2" x14ac:dyDescent="0.3">
      <c r="B66">
        <f t="shared" ca="1" si="1"/>
        <v>0.65249149783051208</v>
      </c>
    </row>
    <row r="67" spans="2:2" x14ac:dyDescent="0.3">
      <c r="B67">
        <f t="shared" ca="1" si="1"/>
        <v>0.67032331002510537</v>
      </c>
    </row>
    <row r="68" spans="2:2" x14ac:dyDescent="0.3">
      <c r="B68">
        <f t="shared" ca="1" si="1"/>
        <v>0.88561663534211232</v>
      </c>
    </row>
    <row r="69" spans="2:2" x14ac:dyDescent="0.3">
      <c r="B69">
        <f t="shared" ca="1" si="1"/>
        <v>0.39144189537858187</v>
      </c>
    </row>
    <row r="70" spans="2:2" x14ac:dyDescent="0.3">
      <c r="B70">
        <f t="shared" ca="1" si="1"/>
        <v>0.10187795007470879</v>
      </c>
    </row>
    <row r="71" spans="2:2" x14ac:dyDescent="0.3">
      <c r="B71">
        <f t="shared" ca="1" si="1"/>
        <v>0.80198261014679362</v>
      </c>
    </row>
    <row r="72" spans="2:2" x14ac:dyDescent="0.3">
      <c r="B72">
        <f t="shared" ca="1" si="1"/>
        <v>0.48383178718670594</v>
      </c>
    </row>
    <row r="73" spans="2:2" x14ac:dyDescent="0.3">
      <c r="B73">
        <f t="shared" ca="1" si="1"/>
        <v>0.7777731557993921</v>
      </c>
    </row>
    <row r="74" spans="2:2" x14ac:dyDescent="0.3">
      <c r="B74">
        <f t="shared" ca="1" si="1"/>
        <v>0.28765287313639798</v>
      </c>
    </row>
    <row r="75" spans="2:2" x14ac:dyDescent="0.3">
      <c r="B75">
        <f t="shared" ca="1" si="1"/>
        <v>1.0450724010124701E-2</v>
      </c>
    </row>
    <row r="76" spans="2:2" x14ac:dyDescent="0.3">
      <c r="B76">
        <f t="shared" ca="1" si="1"/>
        <v>0.85161135905949303</v>
      </c>
    </row>
    <row r="77" spans="2:2" x14ac:dyDescent="0.3">
      <c r="B77">
        <f t="shared" ca="1" si="1"/>
        <v>0.46019105817821826</v>
      </c>
    </row>
    <row r="78" spans="2:2" x14ac:dyDescent="0.3">
      <c r="B78">
        <f t="shared" ca="1" si="1"/>
        <v>0.84565259598837828</v>
      </c>
    </row>
    <row r="79" spans="2:2" x14ac:dyDescent="0.3">
      <c r="B79">
        <f t="shared" ca="1" si="1"/>
        <v>0.69097137573438427</v>
      </c>
    </row>
    <row r="80" spans="2:2" x14ac:dyDescent="0.3">
      <c r="B80">
        <f t="shared" ca="1" si="1"/>
        <v>0.27894430707030815</v>
      </c>
    </row>
    <row r="81" spans="2:2" x14ac:dyDescent="0.3">
      <c r="B81">
        <f t="shared" ca="1" si="1"/>
        <v>0.6497530722772944</v>
      </c>
    </row>
    <row r="82" spans="2:2" x14ac:dyDescent="0.3">
      <c r="B82">
        <f t="shared" ca="1" si="1"/>
        <v>0.71909096994757171</v>
      </c>
    </row>
    <row r="83" spans="2:2" x14ac:dyDescent="0.3">
      <c r="B83">
        <f t="shared" ca="1" si="1"/>
        <v>2.7180040487356782E-3</v>
      </c>
    </row>
    <row r="84" spans="2:2" x14ac:dyDescent="0.3">
      <c r="B84">
        <f t="shared" ca="1" si="1"/>
        <v>0.92913054358054759</v>
      </c>
    </row>
    <row r="85" spans="2:2" x14ac:dyDescent="0.3">
      <c r="B85">
        <f t="shared" ca="1" si="1"/>
        <v>0.1655242967217454</v>
      </c>
    </row>
    <row r="86" spans="2:2" x14ac:dyDescent="0.3">
      <c r="B86">
        <f t="shared" ca="1" si="1"/>
        <v>0.90633066681730012</v>
      </c>
    </row>
    <row r="87" spans="2:2" x14ac:dyDescent="0.3">
      <c r="B87">
        <f t="shared" ca="1" si="1"/>
        <v>0.75607234808893664</v>
      </c>
    </row>
    <row r="88" spans="2:2" x14ac:dyDescent="0.3">
      <c r="B88">
        <f t="shared" ca="1" si="1"/>
        <v>0.43451006867284592</v>
      </c>
    </row>
    <row r="89" spans="2:2" x14ac:dyDescent="0.3">
      <c r="B89">
        <f t="shared" ca="1" si="1"/>
        <v>0.44791886281253823</v>
      </c>
    </row>
    <row r="90" spans="2:2" x14ac:dyDescent="0.3">
      <c r="B90">
        <f t="shared" ca="1" si="1"/>
        <v>0.58074790214348249</v>
      </c>
    </row>
    <row r="91" spans="2:2" x14ac:dyDescent="0.3">
      <c r="B91">
        <f t="shared" ca="1" si="1"/>
        <v>0.37218073090282977</v>
      </c>
    </row>
    <row r="92" spans="2:2" x14ac:dyDescent="0.3">
      <c r="B92">
        <f t="shared" ca="1" si="1"/>
        <v>0.55711101792797291</v>
      </c>
    </row>
    <row r="93" spans="2:2" x14ac:dyDescent="0.3">
      <c r="B93">
        <f t="shared" ca="1" si="1"/>
        <v>0.75567212588363342</v>
      </c>
    </row>
    <row r="94" spans="2:2" x14ac:dyDescent="0.3">
      <c r="B94">
        <f t="shared" ca="1" si="1"/>
        <v>0.80387015078678392</v>
      </c>
    </row>
    <row r="95" spans="2:2" x14ac:dyDescent="0.3">
      <c r="B95">
        <f t="shared" ca="1" si="1"/>
        <v>8.1590558782325462E-2</v>
      </c>
    </row>
    <row r="96" spans="2:2" x14ac:dyDescent="0.3">
      <c r="B96">
        <f t="shared" ca="1" si="1"/>
        <v>6.9673044854060562E-2</v>
      </c>
    </row>
    <row r="97" spans="2:2" x14ac:dyDescent="0.3">
      <c r="B97">
        <f t="shared" ca="1" si="1"/>
        <v>0.27504122512587204</v>
      </c>
    </row>
    <row r="98" spans="2:2" x14ac:dyDescent="0.3">
      <c r="B98">
        <f t="shared" ca="1" si="1"/>
        <v>0.32217724706641693</v>
      </c>
    </row>
    <row r="99" spans="2:2" x14ac:dyDescent="0.3">
      <c r="B99">
        <f t="shared" ca="1" si="1"/>
        <v>0.86323783521154929</v>
      </c>
    </row>
    <row r="100" spans="2:2" x14ac:dyDescent="0.3">
      <c r="B100">
        <f t="shared" ca="1" si="1"/>
        <v>0.15101537050756819</v>
      </c>
    </row>
    <row r="101" spans="2:2" x14ac:dyDescent="0.3">
      <c r="B101">
        <f t="shared" ca="1" si="1"/>
        <v>0.83466475790270778</v>
      </c>
    </row>
    <row r="102" spans="2:2" x14ac:dyDescent="0.3">
      <c r="B102">
        <f t="shared" ref="B102:B136" ca="1" si="2">RAND()</f>
        <v>0.21810980718844564</v>
      </c>
    </row>
    <row r="103" spans="2:2" x14ac:dyDescent="0.3">
      <c r="B103">
        <f t="shared" ca="1" si="2"/>
        <v>0.1327232872843912</v>
      </c>
    </row>
    <row r="104" spans="2:2" x14ac:dyDescent="0.3">
      <c r="B104">
        <f t="shared" ca="1" si="2"/>
        <v>0.47472185907025233</v>
      </c>
    </row>
    <row r="105" spans="2:2" x14ac:dyDescent="0.3">
      <c r="B105">
        <f t="shared" ca="1" si="2"/>
        <v>0.16103491991979391</v>
      </c>
    </row>
    <row r="106" spans="2:2" x14ac:dyDescent="0.3">
      <c r="B106">
        <f t="shared" ca="1" si="2"/>
        <v>5.6945722679867417E-2</v>
      </c>
    </row>
    <row r="107" spans="2:2" x14ac:dyDescent="0.3">
      <c r="B107">
        <f t="shared" ca="1" si="2"/>
        <v>0.11139791734816207</v>
      </c>
    </row>
    <row r="108" spans="2:2" x14ac:dyDescent="0.3">
      <c r="B108">
        <f t="shared" ca="1" si="2"/>
        <v>1.3408124215432693E-3</v>
      </c>
    </row>
    <row r="109" spans="2:2" x14ac:dyDescent="0.3">
      <c r="B109">
        <f t="shared" ca="1" si="2"/>
        <v>3.0966608585185074E-2</v>
      </c>
    </row>
    <row r="110" spans="2:2" x14ac:dyDescent="0.3">
      <c r="B110">
        <f t="shared" ca="1" si="2"/>
        <v>0.14497263138277194</v>
      </c>
    </row>
    <row r="111" spans="2:2" x14ac:dyDescent="0.3">
      <c r="B111">
        <f t="shared" ca="1" si="2"/>
        <v>0.14047923600376389</v>
      </c>
    </row>
    <row r="112" spans="2:2" x14ac:dyDescent="0.3">
      <c r="B112">
        <f t="shared" ca="1" si="2"/>
        <v>0.35394642835277068</v>
      </c>
    </row>
    <row r="113" spans="2:2" x14ac:dyDescent="0.3">
      <c r="B113">
        <f t="shared" ca="1" si="2"/>
        <v>0.36552451313881218</v>
      </c>
    </row>
    <row r="114" spans="2:2" x14ac:dyDescent="0.3">
      <c r="B114">
        <f t="shared" ca="1" si="2"/>
        <v>0.18656752488971162</v>
      </c>
    </row>
    <row r="115" spans="2:2" x14ac:dyDescent="0.3">
      <c r="B115">
        <f t="shared" ca="1" si="2"/>
        <v>0.93015194983394034</v>
      </c>
    </row>
    <row r="116" spans="2:2" x14ac:dyDescent="0.3">
      <c r="B116">
        <f t="shared" ca="1" si="2"/>
        <v>0.12688048608049318</v>
      </c>
    </row>
    <row r="117" spans="2:2" x14ac:dyDescent="0.3">
      <c r="B117">
        <f t="shared" ca="1" si="2"/>
        <v>0.43621189343040245</v>
      </c>
    </row>
    <row r="118" spans="2:2" x14ac:dyDescent="0.3">
      <c r="B118">
        <f t="shared" ca="1" si="2"/>
        <v>0.23755822721732667</v>
      </c>
    </row>
    <row r="119" spans="2:2" x14ac:dyDescent="0.3">
      <c r="B119">
        <f t="shared" ca="1" si="2"/>
        <v>0.49825198763234912</v>
      </c>
    </row>
    <row r="120" spans="2:2" x14ac:dyDescent="0.3">
      <c r="B120">
        <f t="shared" ca="1" si="2"/>
        <v>0.37852624520903133</v>
      </c>
    </row>
    <row r="121" spans="2:2" x14ac:dyDescent="0.3">
      <c r="B121">
        <f t="shared" ca="1" si="2"/>
        <v>0.40149952266320998</v>
      </c>
    </row>
    <row r="122" spans="2:2" x14ac:dyDescent="0.3">
      <c r="B122">
        <f t="shared" ca="1" si="2"/>
        <v>0.11039411937244903</v>
      </c>
    </row>
    <row r="123" spans="2:2" x14ac:dyDescent="0.3">
      <c r="B123">
        <f t="shared" ca="1" si="2"/>
        <v>0.75535701013157941</v>
      </c>
    </row>
    <row r="124" spans="2:2" x14ac:dyDescent="0.3">
      <c r="B124">
        <f t="shared" ca="1" si="2"/>
        <v>0.12776593602573638</v>
      </c>
    </row>
    <row r="125" spans="2:2" x14ac:dyDescent="0.3">
      <c r="B125">
        <f t="shared" ca="1" si="2"/>
        <v>0.9272390195944249</v>
      </c>
    </row>
    <row r="126" spans="2:2" x14ac:dyDescent="0.3">
      <c r="B126">
        <f t="shared" ca="1" si="2"/>
        <v>0.69759033474294696</v>
      </c>
    </row>
    <row r="127" spans="2:2" x14ac:dyDescent="0.3">
      <c r="B127">
        <f t="shared" ca="1" si="2"/>
        <v>0.79586522610355281</v>
      </c>
    </row>
    <row r="128" spans="2:2" x14ac:dyDescent="0.3">
      <c r="B128">
        <f t="shared" ca="1" si="2"/>
        <v>0.31685926204512072</v>
      </c>
    </row>
    <row r="129" spans="1:15" x14ac:dyDescent="0.3">
      <c r="B129">
        <f t="shared" ca="1" si="2"/>
        <v>0.17614173573696035</v>
      </c>
    </row>
    <row r="130" spans="1:15" x14ac:dyDescent="0.3">
      <c r="B130">
        <f t="shared" ca="1" si="2"/>
        <v>0.5623258828907135</v>
      </c>
    </row>
    <row r="131" spans="1:15" x14ac:dyDescent="0.3">
      <c r="B131">
        <f t="shared" ca="1" si="2"/>
        <v>0.54021941786840055</v>
      </c>
    </row>
    <row r="132" spans="1:15" x14ac:dyDescent="0.3">
      <c r="B132">
        <f t="shared" ca="1" si="2"/>
        <v>0.44321536110464632</v>
      </c>
    </row>
    <row r="133" spans="1:15" x14ac:dyDescent="0.3">
      <c r="B133">
        <f t="shared" ca="1" si="2"/>
        <v>0.24718221207358493</v>
      </c>
    </row>
    <row r="134" spans="1:15" x14ac:dyDescent="0.3">
      <c r="B134">
        <f t="shared" ca="1" si="2"/>
        <v>0.93942865853419877</v>
      </c>
    </row>
    <row r="135" spans="1:15" x14ac:dyDescent="0.3">
      <c r="B135">
        <f t="shared" ca="1" si="2"/>
        <v>0.31740175150358418</v>
      </c>
    </row>
    <row r="136" spans="1:15" x14ac:dyDescent="0.3">
      <c r="B136">
        <f t="shared" ca="1" si="2"/>
        <v>0.32626813906898677</v>
      </c>
    </row>
    <row r="139" spans="1:15" x14ac:dyDescent="0.3">
      <c r="A139" s="1" t="s">
        <v>10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1" spans="1:15" x14ac:dyDescent="0.3">
      <c r="A141" t="s">
        <v>1</v>
      </c>
      <c r="B141" s="3" t="s">
        <v>12</v>
      </c>
    </row>
    <row r="142" spans="1:15" x14ac:dyDescent="0.3">
      <c r="D142" t="s">
        <v>14</v>
      </c>
      <c r="I142" t="s">
        <v>16</v>
      </c>
    </row>
    <row r="143" spans="1:15" x14ac:dyDescent="0.3">
      <c r="D143" t="s">
        <v>15</v>
      </c>
      <c r="I143" s="4"/>
    </row>
    <row r="144" spans="1:15" x14ac:dyDescent="0.3">
      <c r="I144" s="4" t="s">
        <v>17</v>
      </c>
    </row>
    <row r="145" spans="1:15" x14ac:dyDescent="0.3">
      <c r="B145" t="s">
        <v>13</v>
      </c>
    </row>
    <row r="147" spans="1:15" x14ac:dyDescent="0.3">
      <c r="B147" s="2" t="s">
        <v>11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50" spans="1:15" x14ac:dyDescent="0.3">
      <c r="A150" s="12" t="s">
        <v>44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2" spans="1:15" x14ac:dyDescent="0.3">
      <c r="A152" t="s">
        <v>8</v>
      </c>
      <c r="B152" s="10" t="s">
        <v>18</v>
      </c>
      <c r="C152" s="11"/>
      <c r="D152" s="11"/>
      <c r="E152" s="11"/>
      <c r="F152" s="7"/>
      <c r="G152" s="7"/>
    </row>
    <row r="154" spans="1:15" x14ac:dyDescent="0.3">
      <c r="B154" s="5" t="s">
        <v>19</v>
      </c>
    </row>
    <row r="155" spans="1:15" x14ac:dyDescent="0.3">
      <c r="B155" s="4"/>
    </row>
    <row r="156" spans="1:15" x14ac:dyDescent="0.3">
      <c r="B156" s="6" t="s">
        <v>20</v>
      </c>
    </row>
    <row r="157" spans="1:15" x14ac:dyDescent="0.3">
      <c r="B157" s="4"/>
    </row>
    <row r="158" spans="1:15" x14ac:dyDescent="0.3">
      <c r="B158" s="6" t="s">
        <v>21</v>
      </c>
    </row>
    <row r="160" spans="1:15" x14ac:dyDescent="0.3">
      <c r="B160" t="s">
        <v>22</v>
      </c>
    </row>
    <row r="162" spans="2:4" x14ac:dyDescent="0.3">
      <c r="B162" s="10" t="s">
        <v>23</v>
      </c>
      <c r="C162" s="11"/>
      <c r="D162" s="7"/>
    </row>
    <row r="164" spans="2:4" ht="15.6" x14ac:dyDescent="0.3">
      <c r="C164" s="9" t="s">
        <v>25</v>
      </c>
      <c r="D164" s="9"/>
    </row>
    <row r="166" spans="2:4" x14ac:dyDescent="0.3">
      <c r="B166" t="s">
        <v>24</v>
      </c>
    </row>
    <row r="167" spans="2:4" x14ac:dyDescent="0.3">
      <c r="B167" s="4"/>
    </row>
    <row r="168" spans="2:4" x14ac:dyDescent="0.3">
      <c r="B168" s="4" t="s">
        <v>26</v>
      </c>
    </row>
    <row r="169" spans="2:4" x14ac:dyDescent="0.3">
      <c r="B169" s="4"/>
    </row>
    <row r="170" spans="2:4" x14ac:dyDescent="0.3">
      <c r="B170" s="4" t="s">
        <v>27</v>
      </c>
    </row>
    <row r="171" spans="2:4" x14ac:dyDescent="0.3">
      <c r="B171" s="4"/>
    </row>
    <row r="172" spans="2:4" x14ac:dyDescent="0.3">
      <c r="B172" s="4" t="s">
        <v>28</v>
      </c>
    </row>
    <row r="173" spans="2:4" x14ac:dyDescent="0.3">
      <c r="B173" s="4"/>
    </row>
    <row r="174" spans="2:4" x14ac:dyDescent="0.3">
      <c r="B174" s="4" t="s">
        <v>29</v>
      </c>
    </row>
    <row r="177" spans="2:9" x14ac:dyDescent="0.3">
      <c r="B177" s="10" t="s">
        <v>30</v>
      </c>
      <c r="C177" s="11"/>
      <c r="D177" s="11"/>
      <c r="E177" s="11"/>
      <c r="F177" s="7"/>
      <c r="G177" s="7"/>
      <c r="H177" s="7"/>
    </row>
    <row r="179" spans="2:9" x14ac:dyDescent="0.3">
      <c r="B179" t="s">
        <v>31</v>
      </c>
    </row>
    <row r="180" spans="2:9" x14ac:dyDescent="0.3">
      <c r="B180" s="4"/>
    </row>
    <row r="181" spans="2:9" x14ac:dyDescent="0.3">
      <c r="B181" s="4" t="s">
        <v>32</v>
      </c>
    </row>
    <row r="182" spans="2:9" x14ac:dyDescent="0.3">
      <c r="B182" s="4"/>
    </row>
    <row r="183" spans="2:9" x14ac:dyDescent="0.3">
      <c r="B183" s="4" t="s">
        <v>33</v>
      </c>
    </row>
    <row r="184" spans="2:9" x14ac:dyDescent="0.3">
      <c r="B184" s="4"/>
    </row>
    <row r="185" spans="2:9" x14ac:dyDescent="0.3">
      <c r="B185" s="4" t="s">
        <v>34</v>
      </c>
    </row>
    <row r="186" spans="2:9" x14ac:dyDescent="0.3">
      <c r="B186" s="4"/>
    </row>
    <row r="187" spans="2:9" x14ac:dyDescent="0.3">
      <c r="B187" s="4" t="s">
        <v>35</v>
      </c>
    </row>
    <row r="188" spans="2:9" x14ac:dyDescent="0.3">
      <c r="B188" s="4"/>
    </row>
    <row r="189" spans="2:9" x14ac:dyDescent="0.3">
      <c r="B189" s="4" t="s">
        <v>36</v>
      </c>
    </row>
    <row r="191" spans="2:9" x14ac:dyDescent="0.3">
      <c r="B191" s="10" t="s">
        <v>37</v>
      </c>
      <c r="C191" s="11"/>
      <c r="D191" s="11"/>
      <c r="E191" s="11"/>
      <c r="F191" s="11"/>
      <c r="G191" s="7"/>
      <c r="H191" s="7"/>
      <c r="I191" s="7"/>
    </row>
    <row r="192" spans="2:9" x14ac:dyDescent="0.3">
      <c r="B192" s="4"/>
    </row>
    <row r="193" spans="1:4" x14ac:dyDescent="0.3">
      <c r="B193" s="6" t="s">
        <v>38</v>
      </c>
    </row>
    <row r="194" spans="1:4" x14ac:dyDescent="0.3">
      <c r="B194" s="4" t="s">
        <v>39</v>
      </c>
    </row>
    <row r="195" spans="1:4" x14ac:dyDescent="0.3">
      <c r="B195" s="4"/>
    </row>
    <row r="196" spans="1:4" x14ac:dyDescent="0.3">
      <c r="B196" s="6" t="s">
        <v>40</v>
      </c>
    </row>
    <row r="197" spans="1:4" x14ac:dyDescent="0.3">
      <c r="B197" s="4" t="s">
        <v>41</v>
      </c>
    </row>
    <row r="198" spans="1:4" x14ac:dyDescent="0.3">
      <c r="B198" s="4"/>
    </row>
    <row r="199" spans="1:4" x14ac:dyDescent="0.3">
      <c r="B199" s="6" t="s">
        <v>42</v>
      </c>
    </row>
    <row r="200" spans="1:4" x14ac:dyDescent="0.3">
      <c r="B200" s="4" t="s">
        <v>43</v>
      </c>
    </row>
    <row r="203" spans="1:4" x14ac:dyDescent="0.3">
      <c r="A203" s="1" t="s">
        <v>45</v>
      </c>
      <c r="B203" s="1"/>
      <c r="C203" s="1"/>
      <c r="D203" s="1"/>
    </row>
    <row r="205" spans="1:4" x14ac:dyDescent="0.3">
      <c r="A205" t="s">
        <v>1</v>
      </c>
      <c r="B205" s="5" t="s">
        <v>46</v>
      </c>
    </row>
    <row r="207" spans="1:4" x14ac:dyDescent="0.3">
      <c r="B207" t="s">
        <v>47</v>
      </c>
    </row>
    <row r="209" spans="1:3" x14ac:dyDescent="0.3">
      <c r="B209" s="8" t="s">
        <v>48</v>
      </c>
      <c r="C209" s="8"/>
    </row>
    <row r="211" spans="1:3" ht="15.6" x14ac:dyDescent="0.3">
      <c r="A211">
        <v>1</v>
      </c>
      <c r="B211" s="13" t="s">
        <v>49</v>
      </c>
      <c r="C211" s="14"/>
    </row>
    <row r="212" spans="1:3" x14ac:dyDescent="0.3">
      <c r="B212" s="4"/>
    </row>
    <row r="213" spans="1:3" x14ac:dyDescent="0.3">
      <c r="B213" s="4" t="s">
        <v>50</v>
      </c>
    </row>
    <row r="214" spans="1:3" x14ac:dyDescent="0.3">
      <c r="B214" s="4"/>
    </row>
    <row r="215" spans="1:3" x14ac:dyDescent="0.3">
      <c r="B215" s="4" t="s">
        <v>51</v>
      </c>
    </row>
    <row r="216" spans="1:3" x14ac:dyDescent="0.3">
      <c r="B216" s="4"/>
    </row>
    <row r="217" spans="1:3" x14ac:dyDescent="0.3">
      <c r="B217" s="4" t="s">
        <v>52</v>
      </c>
    </row>
    <row r="219" spans="1:3" x14ac:dyDescent="0.3">
      <c r="B219" t="s">
        <v>59</v>
      </c>
    </row>
    <row r="223" spans="1:3" ht="15.6" x14ac:dyDescent="0.3">
      <c r="A223">
        <v>2</v>
      </c>
      <c r="B223" s="13" t="s">
        <v>60</v>
      </c>
      <c r="C223" s="14"/>
    </row>
    <row r="224" spans="1:3" x14ac:dyDescent="0.3">
      <c r="B224" s="4"/>
    </row>
    <row r="225" spans="1:3" x14ac:dyDescent="0.3">
      <c r="B225" s="6" t="s">
        <v>53</v>
      </c>
    </row>
    <row r="226" spans="1:3" x14ac:dyDescent="0.3">
      <c r="B226" s="4"/>
    </row>
    <row r="227" spans="1:3" x14ac:dyDescent="0.3">
      <c r="B227" s="6" t="s">
        <v>54</v>
      </c>
    </row>
    <row r="228" spans="1:3" x14ac:dyDescent="0.3">
      <c r="B228" s="4"/>
    </row>
    <row r="229" spans="1:3" x14ac:dyDescent="0.3">
      <c r="B229" s="4" t="s">
        <v>55</v>
      </c>
    </row>
    <row r="231" spans="1:3" x14ac:dyDescent="0.3">
      <c r="B231" t="s">
        <v>61</v>
      </c>
    </row>
    <row r="232" spans="1:3" x14ac:dyDescent="0.3">
      <c r="B232" t="s">
        <v>62</v>
      </c>
    </row>
    <row r="236" spans="1:3" ht="15.6" x14ac:dyDescent="0.3">
      <c r="A236">
        <v>3</v>
      </c>
      <c r="B236" s="13" t="s">
        <v>63</v>
      </c>
      <c r="C236" s="14"/>
    </row>
    <row r="237" spans="1:3" x14ac:dyDescent="0.3">
      <c r="B237" s="4"/>
    </row>
    <row r="238" spans="1:3" x14ac:dyDescent="0.3">
      <c r="B238" s="6" t="s">
        <v>56</v>
      </c>
    </row>
    <row r="239" spans="1:3" x14ac:dyDescent="0.3">
      <c r="B239" s="4"/>
    </row>
    <row r="240" spans="1:3" x14ac:dyDescent="0.3">
      <c r="B240" s="6" t="s">
        <v>57</v>
      </c>
    </row>
    <row r="241" spans="1:11" x14ac:dyDescent="0.3">
      <c r="B241" s="4"/>
    </row>
    <row r="242" spans="1:11" x14ac:dyDescent="0.3">
      <c r="B242" s="4" t="s">
        <v>58</v>
      </c>
    </row>
    <row r="244" spans="1:11" x14ac:dyDescent="0.3">
      <c r="B244" s="15" t="s">
        <v>64</v>
      </c>
    </row>
    <row r="247" spans="1:11" x14ac:dyDescent="0.3">
      <c r="A247" s="1" t="s">
        <v>65</v>
      </c>
      <c r="B247" s="1"/>
      <c r="C247" s="1"/>
      <c r="D247" s="1"/>
      <c r="E247" s="1"/>
      <c r="F247" s="1"/>
      <c r="G247" s="1"/>
      <c r="H247" s="1"/>
      <c r="I247" s="1"/>
    </row>
    <row r="249" spans="1:11" x14ac:dyDescent="0.3">
      <c r="A249" t="s">
        <v>66</v>
      </c>
    </row>
    <row r="252" spans="1:11" x14ac:dyDescent="0.3">
      <c r="A252" s="1" t="s">
        <v>67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4" spans="1:11" x14ac:dyDescent="0.3">
      <c r="A254" t="s">
        <v>8</v>
      </c>
      <c r="B254" t="s">
        <v>68</v>
      </c>
      <c r="D254">
        <v>15</v>
      </c>
    </row>
    <row r="256" spans="1:11" x14ac:dyDescent="0.3">
      <c r="B256" t="s">
        <v>69</v>
      </c>
      <c r="C256">
        <v>7</v>
      </c>
    </row>
    <row r="258" spans="1:10" x14ac:dyDescent="0.3">
      <c r="B258" t="s">
        <v>70</v>
      </c>
      <c r="D258">
        <v>0.5</v>
      </c>
    </row>
    <row r="260" spans="1:10" x14ac:dyDescent="0.3">
      <c r="B260" s="2" t="s">
        <v>71</v>
      </c>
      <c r="C260" s="2"/>
      <c r="D260" s="2"/>
      <c r="E260" s="2"/>
      <c r="F260" s="2">
        <f>1-_xlfn.BINOM.DIST(C256,D254,D258,TRUE)</f>
        <v>0.5</v>
      </c>
    </row>
    <row r="263" spans="1:10" x14ac:dyDescent="0.3">
      <c r="A263" s="1" t="s">
        <v>73</v>
      </c>
      <c r="B263" s="1"/>
      <c r="C263" s="1"/>
      <c r="D263" s="1"/>
      <c r="E263" s="1"/>
      <c r="F263" s="1"/>
      <c r="G263" s="1"/>
      <c r="H263" s="1"/>
      <c r="I263" s="1"/>
      <c r="J263" s="1"/>
    </row>
    <row r="265" spans="1:10" x14ac:dyDescent="0.3">
      <c r="A265" t="s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2026-01-06T16:29:56Z</dcterms:created>
  <dcterms:modified xsi:type="dcterms:W3CDTF">2026-01-07T06:02:34Z</dcterms:modified>
</cp:coreProperties>
</file>