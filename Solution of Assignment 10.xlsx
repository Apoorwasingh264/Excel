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307a5c1aaefead/Documents/"/>
    </mc:Choice>
  </mc:AlternateContent>
  <xr:revisionPtr revIDLastSave="341" documentId="8_{41ADD756-FFFC-4A3F-9BBD-F1A7C7A5BC8D}" xr6:coauthVersionLast="47" xr6:coauthVersionMax="47" xr10:uidLastSave="{0520FD11-D193-41D6-9775-73EE0372EB87}"/>
  <bookViews>
    <workbookView xWindow="-108" yWindow="-108" windowWidth="23256" windowHeight="12456" xr2:uid="{0A8A497C-9CDC-49E0-9F10-540CFB8BC7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9" i="1" l="1"/>
  <c r="E198" i="1"/>
  <c r="F152" i="1"/>
  <c r="F151" i="1"/>
  <c r="D109" i="1"/>
  <c r="H88" i="1"/>
</calcChain>
</file>

<file path=xl/sharedStrings.xml><?xml version="1.0" encoding="utf-8"?>
<sst xmlns="http://schemas.openxmlformats.org/spreadsheetml/2006/main" count="147" uniqueCount="127">
  <si>
    <t xml:space="preserve">Ques 1- Define Covariance and explain how it differs from Correlation in terms of scale and interpretation.
</t>
  </si>
  <si>
    <t>Sol-</t>
  </si>
  <si>
    <t>Covariance</t>
  </si>
  <si>
    <r>
      <t>Covariance</t>
    </r>
    <r>
      <rPr>
        <sz val="11"/>
        <color theme="1"/>
        <rFont val="Calibri"/>
        <family val="2"/>
        <scheme val="minor"/>
      </rPr>
      <t xml:space="preserve"> is a statistical measure that shows </t>
    </r>
    <r>
      <rPr>
        <b/>
        <sz val="11"/>
        <color theme="1"/>
        <rFont val="Calibri"/>
        <family val="2"/>
        <scheme val="minor"/>
      </rPr>
      <t>how two variables move together</t>
    </r>
    <r>
      <rPr>
        <sz val="11"/>
        <color theme="1"/>
        <rFont val="Calibri"/>
        <family val="2"/>
        <scheme val="minor"/>
      </rPr>
      <t>.</t>
    </r>
  </si>
  <si>
    <t>It indicates whether an increase in one variable tends to be associated with an increase or decrease in another variable.</t>
  </si>
  <si>
    <r>
      <t>Positive covariance</t>
    </r>
    <r>
      <rPr>
        <sz val="11"/>
        <color theme="1"/>
        <rFont val="Calibri"/>
        <family val="2"/>
        <scheme val="minor"/>
      </rPr>
      <t xml:space="preserve"> → both variables increase or decrease together</t>
    </r>
  </si>
  <si>
    <r>
      <t>Negative covariance</t>
    </r>
    <r>
      <rPr>
        <sz val="11"/>
        <color theme="1"/>
        <rFont val="Calibri"/>
        <family val="2"/>
        <scheme val="minor"/>
      </rPr>
      <t xml:space="preserve"> → one increases while the other decreases</t>
    </r>
  </si>
  <si>
    <r>
      <t>Zero covariance</t>
    </r>
    <r>
      <rPr>
        <sz val="11"/>
        <color theme="1"/>
        <rFont val="Calibri"/>
        <family val="2"/>
        <scheme val="minor"/>
      </rPr>
      <t xml:space="preserve"> → no linear relationship</t>
    </r>
  </si>
  <si>
    <r>
      <t xml:space="preserve">1. Covariance only shows the </t>
    </r>
    <r>
      <rPr>
        <b/>
        <sz val="11"/>
        <color theme="1"/>
        <rFont val="Calibri"/>
        <family val="2"/>
        <scheme val="minor"/>
      </rPr>
      <t>direction</t>
    </r>
    <r>
      <rPr>
        <sz val="11"/>
        <color theme="1"/>
        <rFont val="Calibri"/>
        <family val="2"/>
        <scheme val="minor"/>
      </rPr>
      <t xml:space="preserve"> of the relationship, whereas correlation shows both the </t>
    </r>
    <r>
      <rPr>
        <b/>
        <sz val="11"/>
        <color theme="1"/>
        <rFont val="Calibri"/>
        <family val="2"/>
        <scheme val="minor"/>
      </rPr>
      <t>direction and strength</t>
    </r>
    <r>
      <rPr>
        <sz val="11"/>
        <color theme="1"/>
        <rFont val="Calibri"/>
        <family val="2"/>
        <scheme val="minor"/>
      </rPr>
      <t xml:space="preserve"> of the relationship.</t>
    </r>
  </si>
  <si>
    <r>
      <t xml:space="preserve">2. Covariance values depend on the </t>
    </r>
    <r>
      <rPr>
        <b/>
        <sz val="11"/>
        <color theme="1"/>
        <rFont val="Calibri"/>
        <family val="2"/>
        <scheme val="minor"/>
      </rPr>
      <t>units and scale of the variables</t>
    </r>
    <r>
      <rPr>
        <sz val="11"/>
        <color theme="1"/>
        <rFont val="Calibri"/>
        <family val="2"/>
        <scheme val="minor"/>
      </rPr>
      <t xml:space="preserve">, whereas correlation is </t>
    </r>
    <r>
      <rPr>
        <b/>
        <sz val="11"/>
        <color theme="1"/>
        <rFont val="Calibri"/>
        <family val="2"/>
        <scheme val="minor"/>
      </rPr>
      <t>unit-free and standardized</t>
    </r>
    <r>
      <rPr>
        <sz val="11"/>
        <color theme="1"/>
        <rFont val="Calibri"/>
        <family val="2"/>
        <scheme val="minor"/>
      </rPr>
      <t>.</t>
    </r>
  </si>
  <si>
    <r>
      <t xml:space="preserve">3. Covariance can take any value from </t>
    </r>
    <r>
      <rPr>
        <b/>
        <sz val="11"/>
        <color theme="1"/>
        <rFont val="Calibri"/>
        <family val="2"/>
        <scheme val="minor"/>
      </rPr>
      <t>−∞ to +∞</t>
    </r>
    <r>
      <rPr>
        <sz val="11"/>
        <color theme="1"/>
        <rFont val="Calibri"/>
        <family val="2"/>
        <scheme val="minor"/>
      </rPr>
      <t xml:space="preserve">, whereas correlation is always bounded between </t>
    </r>
    <r>
      <rPr>
        <b/>
        <sz val="11"/>
        <color theme="1"/>
        <rFont val="Calibri"/>
        <family val="2"/>
        <scheme val="minor"/>
      </rPr>
      <t>−1 and +1</t>
    </r>
    <r>
      <rPr>
        <sz val="11"/>
        <color theme="1"/>
        <rFont val="Calibri"/>
        <family val="2"/>
        <scheme val="minor"/>
      </rPr>
      <t>.</t>
    </r>
  </si>
  <si>
    <t>4. Covariance is harder to interpret because its magnitude has no fixed range, whereas correlation is easy to interpret due to its fixed scale.</t>
  </si>
  <si>
    <t>Difference between Covariance and Correlation:</t>
  </si>
  <si>
    <t xml:space="preserve">Ques 2- </t>
  </si>
  <si>
    <t>What does a positive, negative, and zero covariance indicate about the relationship between two variables?</t>
  </si>
  <si>
    <t xml:space="preserve">Ques 3- </t>
  </si>
  <si>
    <t>Discuss the limitations of covariance as a measure of relationship between two variables. Why is correlation preferred in many cases?</t>
  </si>
  <si>
    <t>Limitations of Covariance:</t>
  </si>
  <si>
    <r>
      <t xml:space="preserve">1. Covariance does not indicate the </t>
    </r>
    <r>
      <rPr>
        <b/>
        <sz val="11"/>
        <color theme="1"/>
        <rFont val="Calibri"/>
        <family val="2"/>
        <scheme val="minor"/>
      </rPr>
      <t>strength</t>
    </r>
    <r>
      <rPr>
        <sz val="11"/>
        <color theme="1"/>
        <rFont val="Calibri"/>
        <family val="2"/>
        <scheme val="minor"/>
      </rPr>
      <t xml:space="preserve"> of the relationship; it only shows the </t>
    </r>
    <r>
      <rPr>
        <b/>
        <sz val="11"/>
        <color theme="1"/>
        <rFont val="Calibri"/>
        <family val="2"/>
        <scheme val="minor"/>
      </rPr>
      <t>direction</t>
    </r>
    <r>
      <rPr>
        <sz val="11"/>
        <color theme="1"/>
        <rFont val="Calibri"/>
        <family val="2"/>
        <scheme val="minor"/>
      </rPr>
      <t xml:space="preserve"> (positive or negative).</t>
    </r>
  </si>
  <si>
    <r>
      <t xml:space="preserve">2. Covariance is </t>
    </r>
    <r>
      <rPr>
        <b/>
        <sz val="11"/>
        <color theme="1"/>
        <rFont val="Calibri"/>
        <family val="2"/>
        <scheme val="minor"/>
      </rPr>
      <t>scale-dependent</t>
    </r>
    <r>
      <rPr>
        <sz val="11"/>
        <color theme="1"/>
        <rFont val="Calibri"/>
        <family val="2"/>
        <scheme val="minor"/>
      </rPr>
      <t>, meaning its value changes with the units of measurement of the variables.</t>
    </r>
  </si>
  <si>
    <r>
      <t xml:space="preserve">3. The value of covariance has </t>
    </r>
    <r>
      <rPr>
        <b/>
        <sz val="11"/>
        <color theme="1"/>
        <rFont val="Calibri"/>
        <family val="2"/>
        <scheme val="minor"/>
      </rPr>
      <t>no fixed range</t>
    </r>
    <r>
      <rPr>
        <sz val="11"/>
        <color theme="1"/>
        <rFont val="Calibri"/>
        <family val="2"/>
        <scheme val="minor"/>
      </rPr>
      <t>, making it difficult to interpret or compare across different datasets.</t>
    </r>
  </si>
  <si>
    <t>4. A large covariance value does not necessarily imply a strong relationship, as it may simply be due to large data units.</t>
  </si>
  <si>
    <t>Why Correlation is Preferred:</t>
  </si>
  <si>
    <r>
      <t xml:space="preserve">Correlation is preferred because it is </t>
    </r>
    <r>
      <rPr>
        <b/>
        <sz val="11"/>
        <color theme="1"/>
        <rFont val="Calibri"/>
        <family val="2"/>
        <scheme val="minor"/>
      </rPr>
      <t>standardized and unit-free</t>
    </r>
    <r>
      <rPr>
        <sz val="11"/>
        <color theme="1"/>
        <rFont val="Calibri"/>
        <family val="2"/>
        <scheme val="minor"/>
      </rPr>
      <t xml:space="preserve">, lies within a fixed range of </t>
    </r>
    <r>
      <rPr>
        <b/>
        <sz val="11"/>
        <color theme="1"/>
        <rFont val="Calibri"/>
        <family val="2"/>
        <scheme val="minor"/>
      </rPr>
      <t>−1 to +1</t>
    </r>
    <r>
      <rPr>
        <sz val="11"/>
        <color theme="1"/>
        <rFont val="Calibri"/>
        <family val="2"/>
        <scheme val="minor"/>
      </rPr>
      <t xml:space="preserve">, clearly indicates both the </t>
    </r>
    <r>
      <rPr>
        <b/>
        <sz val="11"/>
        <color theme="1"/>
        <rFont val="Calibri"/>
        <family val="2"/>
        <scheme val="minor"/>
      </rPr>
      <t>direction and strength</t>
    </r>
    <r>
      <rPr>
        <sz val="11"/>
        <color theme="1"/>
        <rFont val="Calibri"/>
        <family val="2"/>
        <scheme val="minor"/>
      </rPr>
      <t xml:space="preserve"> of the relationship, and allows </t>
    </r>
    <r>
      <rPr>
        <b/>
        <sz val="11"/>
        <color theme="1"/>
        <rFont val="Calibri"/>
        <family val="2"/>
        <scheme val="minor"/>
      </rPr>
      <t>easy interpretation and comparison</t>
    </r>
    <r>
      <rPr>
        <sz val="11"/>
        <color theme="1"/>
        <rFont val="Calibri"/>
        <family val="2"/>
        <scheme val="minor"/>
      </rPr>
      <t xml:space="preserve"> between different datasets.</t>
    </r>
  </si>
  <si>
    <t>Ques 4-</t>
  </si>
  <si>
    <t>Difference between Pearson’s and Spearman’s Correlation Coefficients:</t>
  </si>
  <si>
    <r>
      <t>1. Pearson’s correlation coefficient</t>
    </r>
    <r>
      <rPr>
        <sz val="11"/>
        <color theme="1"/>
        <rFont val="Calibri"/>
        <family val="2"/>
        <scheme val="minor"/>
      </rPr>
      <t xml:space="preserve"> measures the </t>
    </r>
    <r>
      <rPr>
        <b/>
        <sz val="11"/>
        <color theme="1"/>
        <rFont val="Calibri"/>
        <family val="2"/>
        <scheme val="minor"/>
      </rPr>
      <t>linear relationship</t>
    </r>
    <r>
      <rPr>
        <sz val="11"/>
        <color theme="1"/>
        <rFont val="Calibri"/>
        <family val="2"/>
        <scheme val="minor"/>
      </rPr>
      <t xml:space="preserve"> between two continuous variables using their actual values, whereas </t>
    </r>
    <r>
      <rPr>
        <b/>
        <sz val="11"/>
        <color theme="1"/>
        <rFont val="Calibri"/>
        <family val="2"/>
        <scheme val="minor"/>
      </rPr>
      <t>Spearman’s rank correlation coefficient</t>
    </r>
    <r>
      <rPr>
        <sz val="11"/>
        <color theme="1"/>
        <rFont val="Calibri"/>
        <family val="2"/>
        <scheme val="minor"/>
      </rPr>
      <t xml:space="preserve"> measures the </t>
    </r>
    <r>
      <rPr>
        <b/>
        <sz val="11"/>
        <color theme="1"/>
        <rFont val="Calibri"/>
        <family val="2"/>
        <scheme val="minor"/>
      </rPr>
      <t>monotonic relationship</t>
    </r>
    <r>
      <rPr>
        <sz val="11"/>
        <color theme="1"/>
        <rFont val="Calibri"/>
        <family val="2"/>
        <scheme val="minor"/>
      </rPr>
      <t xml:space="preserve"> using the ranks of the data.</t>
    </r>
  </si>
  <si>
    <r>
      <t xml:space="preserve">2. Pearson’s correlation assumes the data are </t>
    </r>
    <r>
      <rPr>
        <b/>
        <sz val="11"/>
        <color theme="1"/>
        <rFont val="Calibri"/>
        <family val="2"/>
        <scheme val="minor"/>
      </rPr>
      <t>normally distributed</t>
    </r>
    <r>
      <rPr>
        <sz val="11"/>
        <color theme="1"/>
        <rFont val="Calibri"/>
        <family val="2"/>
        <scheme val="minor"/>
      </rPr>
      <t xml:space="preserve"> and free from extreme outliers, whereas Spearman’s correlation does </t>
    </r>
    <r>
      <rPr>
        <b/>
        <sz val="11"/>
        <color theme="1"/>
        <rFont val="Calibri"/>
        <family val="2"/>
        <scheme val="minor"/>
      </rPr>
      <t>not require normality</t>
    </r>
    <r>
      <rPr>
        <sz val="11"/>
        <color theme="1"/>
        <rFont val="Calibri"/>
        <family val="2"/>
        <scheme val="minor"/>
      </rPr>
      <t xml:space="preserve"> and is less affected by outliers.</t>
    </r>
  </si>
  <si>
    <r>
      <t xml:space="preserve">3. Pearson’s correlation is sensitive to </t>
    </r>
    <r>
      <rPr>
        <b/>
        <sz val="11"/>
        <color theme="1"/>
        <rFont val="Calibri"/>
        <family val="2"/>
        <scheme val="minor"/>
      </rPr>
      <t>outliers</t>
    </r>
    <r>
      <rPr>
        <sz val="11"/>
        <color theme="1"/>
        <rFont val="Calibri"/>
        <family val="2"/>
        <scheme val="minor"/>
      </rPr>
      <t xml:space="preserve">, whereas Spearman’s correlation is more </t>
    </r>
    <r>
      <rPr>
        <b/>
        <sz val="11"/>
        <color theme="1"/>
        <rFont val="Calibri"/>
        <family val="2"/>
        <scheme val="minor"/>
      </rPr>
      <t>robust</t>
    </r>
    <r>
      <rPr>
        <sz val="11"/>
        <color theme="1"/>
        <rFont val="Calibri"/>
        <family val="2"/>
        <scheme val="minor"/>
      </rPr>
      <t xml:space="preserve"> because it works on ranks.</t>
    </r>
  </si>
  <si>
    <r>
      <t xml:space="preserve">4. Pearson’s correlation is best for </t>
    </r>
    <r>
      <rPr>
        <b/>
        <sz val="11"/>
        <color theme="1"/>
        <rFont val="Calibri"/>
        <family val="2"/>
        <scheme val="minor"/>
      </rPr>
      <t>interval or ratio scale data</t>
    </r>
    <r>
      <rPr>
        <sz val="11"/>
        <color theme="1"/>
        <rFont val="Calibri"/>
        <family val="2"/>
        <scheme val="minor"/>
      </rPr>
      <t xml:space="preserve">, whereas Spearman’s correlation can be used for </t>
    </r>
    <r>
      <rPr>
        <b/>
        <sz val="11"/>
        <color theme="1"/>
        <rFont val="Calibri"/>
        <family val="2"/>
        <scheme val="minor"/>
      </rPr>
      <t>ordinal data</t>
    </r>
    <r>
      <rPr>
        <sz val="11"/>
        <color theme="1"/>
        <rFont val="Calibri"/>
        <family val="2"/>
        <scheme val="minor"/>
      </rPr>
      <t>.</t>
    </r>
  </si>
  <si>
    <t>When to Prefer Spearman’s Correlation:</t>
  </si>
  <si>
    <r>
      <t xml:space="preserve">Spearman’s correlation is preferred when the data are </t>
    </r>
    <r>
      <rPr>
        <b/>
        <sz val="11"/>
        <color theme="1"/>
        <rFont val="Calibri"/>
        <family val="2"/>
        <scheme val="minor"/>
      </rPr>
      <t>not normally distributed</t>
    </r>
    <r>
      <rPr>
        <sz val="11"/>
        <color theme="1"/>
        <rFont val="Calibri"/>
        <family val="2"/>
        <scheme val="minor"/>
      </rPr>
      <t xml:space="preserve">, contain </t>
    </r>
    <r>
      <rPr>
        <b/>
        <sz val="11"/>
        <color theme="1"/>
        <rFont val="Calibri"/>
        <family val="2"/>
        <scheme val="minor"/>
      </rPr>
      <t>outliers</t>
    </r>
    <r>
      <rPr>
        <sz val="11"/>
        <color theme="1"/>
        <rFont val="Calibri"/>
        <family val="2"/>
        <scheme val="minor"/>
      </rPr>
      <t xml:space="preserve">, are measured on an </t>
    </r>
    <r>
      <rPr>
        <b/>
        <sz val="11"/>
        <color theme="1"/>
        <rFont val="Calibri"/>
        <family val="2"/>
        <scheme val="minor"/>
      </rPr>
      <t>ordinal scale</t>
    </r>
    <r>
      <rPr>
        <sz val="11"/>
        <color theme="1"/>
        <rFont val="Calibri"/>
        <family val="2"/>
        <scheme val="minor"/>
      </rPr>
      <t xml:space="preserve">, or when the relationship between variables is </t>
    </r>
    <r>
      <rPr>
        <b/>
        <sz val="11"/>
        <color theme="1"/>
        <rFont val="Calibri"/>
        <family val="2"/>
        <scheme val="minor"/>
      </rPr>
      <t>monotonic but not linear</t>
    </r>
    <r>
      <rPr>
        <sz val="11"/>
        <color theme="1"/>
        <rFont val="Calibri"/>
        <family val="2"/>
        <scheme val="minor"/>
      </rPr>
      <t>.</t>
    </r>
  </si>
  <si>
    <t>Explain the difference between Pearson’s correlation coefficient and Spearman’s rank correlation coefficient. When would you prefer to use Spearman’s correlation?</t>
  </si>
  <si>
    <t xml:space="preserve">Ques 5- </t>
  </si>
  <si>
    <t>If the correlation coefficient between two variables X and Y is 0.85, interpret this value in context. Can you infer causation from this value? Why or why not?</t>
  </si>
  <si>
    <r>
      <t xml:space="preserve">A correlation coefficient of </t>
    </r>
    <r>
      <rPr>
        <b/>
        <sz val="11"/>
        <color theme="1"/>
        <rFont val="Calibri"/>
        <family val="2"/>
        <scheme val="minor"/>
      </rPr>
      <t>0.85</t>
    </r>
    <r>
      <rPr>
        <sz val="11"/>
        <color theme="1"/>
        <rFont val="Calibri"/>
        <family val="2"/>
        <scheme val="minor"/>
      </rPr>
      <t xml:space="preserve"> indicates a </t>
    </r>
    <r>
      <rPr>
        <b/>
        <sz val="11"/>
        <color theme="1"/>
        <rFont val="Calibri"/>
        <family val="2"/>
        <scheme val="minor"/>
      </rPr>
      <t>strong positive relationship</t>
    </r>
    <r>
      <rPr>
        <sz val="11"/>
        <color theme="1"/>
        <rFont val="Calibri"/>
        <family val="2"/>
        <scheme val="minor"/>
      </rPr>
      <t xml:space="preserve"> between variables </t>
    </r>
    <r>
      <rPr>
        <b/>
        <sz val="11"/>
        <color theme="1"/>
        <rFont val="Calibri"/>
        <family val="2"/>
        <scheme val="minor"/>
      </rPr>
      <t>X and Y</t>
    </r>
    <r>
      <rPr>
        <sz val="11"/>
        <color theme="1"/>
        <rFont val="Calibri"/>
        <family val="2"/>
        <scheme val="minor"/>
      </rPr>
      <t xml:space="preserve">, meaning that as </t>
    </r>
    <r>
      <rPr>
        <b/>
        <sz val="11"/>
        <color theme="1"/>
        <rFont val="Calibri"/>
        <family val="2"/>
        <scheme val="minor"/>
      </rPr>
      <t>X increases, Y also tends to increase</t>
    </r>
    <r>
      <rPr>
        <sz val="11"/>
        <color theme="1"/>
        <rFont val="Calibri"/>
        <family val="2"/>
        <scheme val="minor"/>
      </rPr>
      <t>, and the variables move closely together.</t>
    </r>
  </si>
  <si>
    <r>
      <t xml:space="preserve">However, </t>
    </r>
    <r>
      <rPr>
        <b/>
        <sz val="11"/>
        <color theme="1"/>
        <rFont val="Calibri"/>
        <family val="2"/>
        <scheme val="minor"/>
      </rPr>
      <t>causation cannot be inferred</t>
    </r>
    <r>
      <rPr>
        <sz val="11"/>
        <color theme="1"/>
        <rFont val="Calibri"/>
        <family val="2"/>
        <scheme val="minor"/>
      </rPr>
      <t xml:space="preserve"> from this value because correlation only measures </t>
    </r>
    <r>
      <rPr>
        <b/>
        <sz val="11"/>
        <color theme="1"/>
        <rFont val="Calibri"/>
        <family val="2"/>
        <scheme val="minor"/>
      </rPr>
      <t>association</t>
    </r>
    <r>
      <rPr>
        <sz val="11"/>
        <color theme="1"/>
        <rFont val="Calibri"/>
        <family val="2"/>
        <scheme val="minor"/>
      </rPr>
      <t xml:space="preserve">, not cause-and-effect. The relationship may be influenced by a </t>
    </r>
    <r>
      <rPr>
        <b/>
        <sz val="11"/>
        <color theme="1"/>
        <rFont val="Calibri"/>
        <family val="2"/>
        <scheme val="minor"/>
      </rPr>
      <t>third (lurking) variable</t>
    </r>
    <r>
      <rPr>
        <sz val="11"/>
        <color theme="1"/>
        <rFont val="Calibri"/>
        <family val="2"/>
        <scheme val="minor"/>
      </rPr>
      <t xml:space="preserve">, or the association could be </t>
    </r>
    <r>
      <rPr>
        <b/>
        <sz val="11"/>
        <color theme="1"/>
        <rFont val="Calibri"/>
        <family val="2"/>
        <scheme val="minor"/>
      </rPr>
      <t>coincidental</t>
    </r>
    <r>
      <rPr>
        <sz val="11"/>
        <color theme="1"/>
        <rFont val="Calibri"/>
        <family val="2"/>
        <scheme val="minor"/>
      </rPr>
      <t>, so a high correlation does not prove that changes in X directly cause changes in Y.</t>
    </r>
  </si>
  <si>
    <t xml:space="preserve">Ques 6- </t>
  </si>
  <si>
    <t>Given data</t>
  </si>
  <si>
    <t>x = 2,4,6,8</t>
  </si>
  <si>
    <t>y=3,7,5,10</t>
  </si>
  <si>
    <t xml:space="preserve">Mean (x bar) = </t>
  </si>
  <si>
    <t xml:space="preserve">2+4+6+8/4 = </t>
  </si>
  <si>
    <t xml:space="preserve">Mean (y bar) = </t>
  </si>
  <si>
    <t xml:space="preserve">3+7+5+10/4 = </t>
  </si>
  <si>
    <t>Step 1- Find Mean</t>
  </si>
  <si>
    <t>Step 2- Find deviations and products-</t>
  </si>
  <si>
    <t>X</t>
  </si>
  <si>
    <t>Y</t>
  </si>
  <si>
    <t>X-X Bar</t>
  </si>
  <si>
    <t>Y-Y bar</t>
  </si>
  <si>
    <t>Product</t>
  </si>
  <si>
    <t>Sum of products =</t>
  </si>
  <si>
    <t>9.75−0.75−1.25+11.25=19</t>
  </si>
  <si>
    <t>Step 3: Calculate covariance</t>
  </si>
  <si>
    <r>
      <t xml:space="preserve">(Using </t>
    </r>
    <r>
      <rPr>
        <b/>
        <sz val="11"/>
        <color theme="1"/>
        <rFont val="Calibri"/>
        <family val="2"/>
        <scheme val="minor"/>
      </rPr>
      <t>sample covariance</t>
    </r>
    <r>
      <rPr>
        <sz val="11"/>
        <color theme="1"/>
        <rFont val="Calibri"/>
        <family val="2"/>
        <scheme val="minor"/>
      </rPr>
      <t>, divide by n−1=3)</t>
    </r>
  </si>
  <si>
    <t>COV(X,Y)</t>
  </si>
  <si>
    <r>
      <t xml:space="preserve">The </t>
    </r>
    <r>
      <rPr>
        <b/>
        <sz val="11"/>
        <color theme="1"/>
        <rFont val="Calibri"/>
        <family val="2"/>
        <scheme val="minor"/>
      </rPr>
      <t>covariance between X and Y is approximately 6.33</t>
    </r>
    <r>
      <rPr>
        <sz val="11"/>
        <color theme="1"/>
        <rFont val="Calibri"/>
        <family val="2"/>
        <scheme val="minor"/>
      </rPr>
      <t xml:space="preserve">, indicating a </t>
    </r>
    <r>
      <rPr>
        <b/>
        <sz val="11"/>
        <color theme="1"/>
        <rFont val="Calibri"/>
        <family val="2"/>
        <scheme val="minor"/>
      </rPr>
      <t>positive relationship</t>
    </r>
    <r>
      <rPr>
        <sz val="11"/>
        <color theme="1"/>
        <rFont val="Calibri"/>
        <family val="2"/>
        <scheme val="minor"/>
      </rPr>
      <t xml:space="preserve"> between the two variables.</t>
    </r>
  </si>
  <si>
    <t xml:space="preserve">Ques 7- </t>
  </si>
  <si>
    <t>Given data:</t>
  </si>
  <si>
    <r>
      <t>A:</t>
    </r>
    <r>
      <rPr>
        <sz val="11"/>
        <color theme="1"/>
        <rFont val="Calibri"/>
        <family val="2"/>
        <scheme val="minor"/>
      </rPr>
      <t xml:space="preserve"> 10, 20, 30, 40, 50</t>
    </r>
  </si>
  <si>
    <r>
      <t>B:</t>
    </r>
    <r>
      <rPr>
        <sz val="11"/>
        <color theme="1"/>
        <rFont val="Calibri"/>
        <family val="2"/>
        <scheme val="minor"/>
      </rPr>
      <t xml:space="preserve"> 8, 14, 18, 24, 28</t>
    </r>
  </si>
  <si>
    <t>Step 1: Calculate means</t>
  </si>
  <si>
    <t xml:space="preserve">A bar = </t>
  </si>
  <si>
    <t>10+20+30+40+50/5=</t>
  </si>
  <si>
    <t>B bar =</t>
  </si>
  <si>
    <t>8+14+18+24+28/5=</t>
  </si>
  <si>
    <t>Step 2: Compute deviations and products</t>
  </si>
  <si>
    <t>A</t>
  </si>
  <si>
    <t>B</t>
  </si>
  <si>
    <t>A-A Bar</t>
  </si>
  <si>
    <t>B-B Bar</t>
  </si>
  <si>
    <t>Summation (A-A Bar)(B-B bar) = 500</t>
  </si>
  <si>
    <t>Step 3: Calculate standard deviations</t>
  </si>
  <si>
    <t>S of A =</t>
  </si>
  <si>
    <t>Sqrt 250</t>
  </si>
  <si>
    <t>S of B =</t>
  </si>
  <si>
    <t>Sqrt 62.8</t>
  </si>
  <si>
    <t>Step 4: Pearson correlation coefficient</t>
  </si>
  <si>
    <t>r= COV(A,B)/(S of A) (S of B)</t>
  </si>
  <si>
    <t>r= 125/15.82*7.93=</t>
  </si>
  <si>
    <r>
      <t xml:space="preserve">The </t>
    </r>
    <r>
      <rPr>
        <b/>
        <sz val="11"/>
        <color theme="1"/>
        <rFont val="Calibri"/>
        <family val="2"/>
        <scheme val="minor"/>
      </rPr>
      <t>Pearson correlation coefficient is approximately 0.998</t>
    </r>
    <r>
      <rPr>
        <sz val="11"/>
        <color theme="1"/>
        <rFont val="Calibri"/>
        <family val="2"/>
        <scheme val="minor"/>
      </rPr>
      <t xml:space="preserve">, indicating a </t>
    </r>
    <r>
      <rPr>
        <b/>
        <sz val="11"/>
        <color theme="1"/>
        <rFont val="Calibri"/>
        <family val="2"/>
        <scheme val="minor"/>
      </rPr>
      <t>very strong positive linear relationship</t>
    </r>
    <r>
      <rPr>
        <sz val="11"/>
        <color theme="1"/>
        <rFont val="Calibri"/>
        <family val="2"/>
        <scheme val="minor"/>
      </rPr>
      <t xml:space="preserve"> between variables </t>
    </r>
    <r>
      <rPr>
        <b/>
        <sz val="11"/>
        <color theme="1"/>
        <rFont val="Calibri"/>
        <family val="2"/>
        <scheme val="minor"/>
      </rPr>
      <t>A and B</t>
    </r>
    <r>
      <rPr>
        <sz val="11"/>
        <color theme="1"/>
        <rFont val="Calibri"/>
        <family val="2"/>
        <scheme val="minor"/>
      </rPr>
      <t>.</t>
    </r>
  </si>
  <si>
    <t xml:space="preserve">Ques 8- </t>
  </si>
  <si>
    <r>
      <t>Height (cm):</t>
    </r>
    <r>
      <rPr>
        <sz val="11"/>
        <color theme="1"/>
        <rFont val="Calibri"/>
        <family val="2"/>
        <scheme val="minor"/>
      </rPr>
      <t xml:space="preserve"> 150, 160, 165, 170, 180</t>
    </r>
  </si>
  <si>
    <r>
      <t>Weight (kg):</t>
    </r>
    <r>
      <rPr>
        <sz val="11"/>
        <color theme="1"/>
        <rFont val="Calibri"/>
        <family val="2"/>
        <scheme val="minor"/>
      </rPr>
      <t xml:space="preserve"> 50, 55, 58, 62, 70</t>
    </r>
  </si>
  <si>
    <t>Step 1: Find the means</t>
  </si>
  <si>
    <t>H bar =</t>
  </si>
  <si>
    <t xml:space="preserve">150+160+165+170+180 / 5 = </t>
  </si>
  <si>
    <t xml:space="preserve">W bar = </t>
  </si>
  <si>
    <t>50+55+58+62+70/5 =</t>
  </si>
  <si>
    <t>Height</t>
  </si>
  <si>
    <t>Weight</t>
  </si>
  <si>
    <t>H-H Bar</t>
  </si>
  <si>
    <t>W-W Bar</t>
  </si>
  <si>
    <t>Summation (H-H Bar) (W-W Bar)=</t>
  </si>
  <si>
    <t>S of H</t>
  </si>
  <si>
    <t>S of W</t>
  </si>
  <si>
    <t>sqrt 125</t>
  </si>
  <si>
    <t>sqrt 44</t>
  </si>
  <si>
    <t>r= 335/sqrt(125*44)=</t>
  </si>
  <si>
    <r>
      <t xml:space="preserve">The </t>
    </r>
    <r>
      <rPr>
        <b/>
        <sz val="11"/>
        <color theme="1"/>
        <rFont val="Calibri"/>
        <family val="2"/>
        <scheme val="minor"/>
      </rPr>
      <t>correlation coefficient between Height and Weight is approximately 0.99</t>
    </r>
    <r>
      <rPr>
        <sz val="11"/>
        <color theme="1"/>
        <rFont val="Calibri"/>
        <family val="2"/>
        <scheme val="minor"/>
      </rPr>
      <t xml:space="preserve">, indicating a </t>
    </r>
    <r>
      <rPr>
        <b/>
        <sz val="11"/>
        <color theme="1"/>
        <rFont val="Calibri"/>
        <family val="2"/>
        <scheme val="minor"/>
      </rPr>
      <t>very strong positive linear relationship</t>
    </r>
    <r>
      <rPr>
        <sz val="11"/>
        <color theme="1"/>
        <rFont val="Calibri"/>
        <family val="2"/>
        <scheme val="minor"/>
      </rPr>
      <t>—as height increases, weight also tends to increase.</t>
    </r>
  </si>
  <si>
    <t>Ques 9-</t>
  </si>
  <si>
    <t xml:space="preserve">Sol- </t>
  </si>
  <si>
    <t>From the table:</t>
  </si>
  <si>
    <r>
      <t>X</t>
    </r>
    <r>
      <rPr>
        <sz val="11"/>
        <color theme="1"/>
        <rFont val="Calibri"/>
        <family val="2"/>
        <scheme val="minor"/>
      </rPr>
      <t xml:space="preserve"> increases from </t>
    </r>
    <r>
      <rPr>
        <b/>
        <sz val="11"/>
        <color theme="1"/>
        <rFont val="Calibri"/>
        <family val="2"/>
        <scheme val="minor"/>
      </rPr>
      <t>1 to 5</t>
    </r>
  </si>
  <si>
    <r>
      <t>Y</t>
    </r>
    <r>
      <rPr>
        <sz val="11"/>
        <color theme="1"/>
        <rFont val="Calibri"/>
        <family val="2"/>
        <scheme val="minor"/>
      </rPr>
      <t xml:space="preserve"> decreases from </t>
    </r>
    <r>
      <rPr>
        <b/>
        <sz val="11"/>
        <color theme="1"/>
        <rFont val="Calibri"/>
        <family val="2"/>
        <scheme val="minor"/>
      </rPr>
      <t>15 to 3</t>
    </r>
  </si>
  <si>
    <r>
      <t xml:space="preserve">As </t>
    </r>
    <r>
      <rPr>
        <b/>
        <sz val="11"/>
        <color theme="1"/>
        <rFont val="Calibri"/>
        <family val="2"/>
        <scheme val="minor"/>
      </rPr>
      <t>X increases, Y decreases</t>
    </r>
    <r>
      <rPr>
        <sz val="11"/>
        <color theme="1"/>
        <rFont val="Calibri"/>
        <family val="2"/>
        <scheme val="minor"/>
      </rPr>
      <t xml:space="preserve">, which means the two variables move in </t>
    </r>
    <r>
      <rPr>
        <b/>
        <sz val="11"/>
        <color theme="1"/>
        <rFont val="Calibri"/>
        <family val="2"/>
        <scheme val="minor"/>
      </rPr>
      <t>opposite directions</t>
    </r>
    <r>
      <rPr>
        <sz val="11"/>
        <color theme="1"/>
        <rFont val="Calibri"/>
        <family val="2"/>
        <scheme val="minor"/>
      </rPr>
      <t>.</t>
    </r>
  </si>
  <si>
    <r>
      <t xml:space="preserve">There is a </t>
    </r>
    <r>
      <rPr>
        <b/>
        <sz val="11"/>
        <color theme="1"/>
        <rFont val="Calibri"/>
        <family val="2"/>
        <scheme val="minor"/>
      </rPr>
      <t>negative correlation</t>
    </r>
    <r>
      <rPr>
        <sz val="11"/>
        <color theme="1"/>
        <rFont val="Calibri"/>
        <family val="2"/>
        <scheme val="minor"/>
      </rPr>
      <t xml:space="preserve"> between </t>
    </r>
    <r>
      <rPr>
        <b/>
        <sz val="11"/>
        <color theme="1"/>
        <rFont val="Calibri"/>
        <family val="2"/>
        <scheme val="minor"/>
      </rPr>
      <t>X and Y</t>
    </r>
    <r>
      <rPr>
        <sz val="11"/>
        <color theme="1"/>
        <rFont val="Calibri"/>
        <family val="2"/>
        <scheme val="minor"/>
      </rPr>
      <t>.</t>
    </r>
  </si>
  <si>
    <t>Ques 10-</t>
  </si>
  <si>
    <t>8+10+12+9+11/5 =</t>
  </si>
  <si>
    <t>6+9+11+8+10 / 5 =</t>
  </si>
  <si>
    <t>Step 2: Compute deviations</t>
  </si>
  <si>
    <t>Year</t>
  </si>
  <si>
    <t>A-A bar</t>
  </si>
  <si>
    <t>B-B bar</t>
  </si>
  <si>
    <t>Sum of products = 5.6+0+4.4+0.8+1.2 = 12</t>
  </si>
  <si>
    <t>Step 3: Covariance</t>
  </si>
  <si>
    <t>Cov(A,B)=</t>
  </si>
  <si>
    <t>12/4=</t>
  </si>
  <si>
    <t>Step 4:Calculate Standard deviations</t>
  </si>
  <si>
    <t xml:space="preserve">Sqrt(10/4) = </t>
  </si>
  <si>
    <t>Sqrt(14.8/4=</t>
  </si>
  <si>
    <t>Step 5: Correlation Coffecient</t>
  </si>
  <si>
    <t>r=Cov(A,B)/(S of A)(S of B)</t>
  </si>
  <si>
    <t>r= 3/1.58*1.92</t>
  </si>
  <si>
    <t>r=0.99</t>
  </si>
  <si>
    <t>The two portfolios move very closely together. When Portfolio's A return increases or decreases, Portfolio B's return almost always moves in the same direction.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</si>
</sst>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3" fillId="0" borderId="0" xfId="0" applyFont="1"/>
    <xf numFmtId="0" fontId="0" fillId="2" borderId="0" xfId="0" applyFill="1"/>
    <xf numFmtId="0" fontId="1" fillId="3" borderId="0" xfId="0" applyFont="1" applyFill="1"/>
    <xf numFmtId="0" fontId="0" fillId="0" borderId="1" xfId="0" applyBorder="1"/>
    <xf numFmtId="0" fontId="1" fillId="0" borderId="1" xfId="0" applyFont="1" applyBorder="1"/>
    <xf numFmtId="0" fontId="1" fillId="3" borderId="0" xfId="0" applyFont="1" applyFill="1" applyAlignment="1">
      <alignment vertical="center"/>
    </xf>
    <xf numFmtId="0" fontId="0" fillId="3" borderId="0" xfId="0" applyFill="1"/>
    <xf numFmtId="0" fontId="0" fillId="4" borderId="0" xfId="0" applyFill="1"/>
    <xf numFmtId="0" fontId="1" fillId="0" borderId="0" xfId="0" applyFont="1" applyFill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74</xdr:row>
      <xdr:rowOff>15240</xdr:rowOff>
    </xdr:from>
    <xdr:to>
      <xdr:col>9</xdr:col>
      <xdr:colOff>429782</xdr:colOff>
      <xdr:row>80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6EF3F3-8AFA-D774-C8E6-490C9F826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320" y="13563600"/>
          <a:ext cx="5489462" cy="124968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114</xdr:row>
      <xdr:rowOff>15240</xdr:rowOff>
    </xdr:from>
    <xdr:to>
      <xdr:col>9</xdr:col>
      <xdr:colOff>266699</xdr:colOff>
      <xdr:row>120</xdr:row>
      <xdr:rowOff>22860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3B8D82-5C34-3A07-4760-7F79D76CD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2460" y="20878800"/>
          <a:ext cx="5349239" cy="110490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163</xdr:row>
      <xdr:rowOff>7621</xdr:rowOff>
    </xdr:from>
    <xdr:to>
      <xdr:col>9</xdr:col>
      <xdr:colOff>358245</xdr:colOff>
      <xdr:row>170</xdr:row>
      <xdr:rowOff>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616FC19-85F2-BAFF-3BC4-194D477FD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0080" y="29832301"/>
          <a:ext cx="5433165" cy="12725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208</xdr:row>
      <xdr:rowOff>38100</xdr:rowOff>
    </xdr:from>
    <xdr:to>
      <xdr:col>9</xdr:col>
      <xdr:colOff>516637</xdr:colOff>
      <xdr:row>216</xdr:row>
      <xdr:rowOff>30480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0B091AB-0A87-5499-F20D-17512520A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38092380"/>
          <a:ext cx="5622037" cy="14554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229</xdr:row>
      <xdr:rowOff>0</xdr:rowOff>
    </xdr:from>
    <xdr:to>
      <xdr:col>9</xdr:col>
      <xdr:colOff>495300</xdr:colOff>
      <xdr:row>242</xdr:row>
      <xdr:rowOff>167639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27347B5-73AE-6EBF-C7D8-1EBF7F4D9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41894760"/>
          <a:ext cx="5600700" cy="254507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00886-A52D-410D-8CAE-15E38BD30190}">
  <dimension ref="A1:R284"/>
  <sheetViews>
    <sheetView tabSelected="1" topLeftCell="A264" workbookViewId="0">
      <selection activeCell="J275" sqref="J275"/>
    </sheetView>
  </sheetViews>
  <sheetFormatPr defaultRowHeight="14.4" x14ac:dyDescent="0.3"/>
  <cols>
    <col min="4" max="4" width="10.88671875" customWidth="1"/>
    <col min="5" max="5" width="9.88671875" customWidth="1"/>
    <col min="6" max="6" width="9.21875" customWidth="1"/>
  </cols>
  <sheetData>
    <row r="1" spans="1:10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3" spans="1:10" ht="15.6" x14ac:dyDescent="0.3">
      <c r="A3" t="s">
        <v>1</v>
      </c>
      <c r="B3" s="4" t="s">
        <v>2</v>
      </c>
      <c r="C3" s="5"/>
    </row>
    <row r="5" spans="1:10" x14ac:dyDescent="0.3">
      <c r="B5" s="1" t="s">
        <v>3</v>
      </c>
    </row>
    <row r="6" spans="1:10" x14ac:dyDescent="0.3">
      <c r="B6" t="s">
        <v>4</v>
      </c>
    </row>
    <row r="7" spans="1:10" x14ac:dyDescent="0.3">
      <c r="B7" s="2"/>
    </row>
    <row r="14" spans="1:10" x14ac:dyDescent="0.3">
      <c r="B14" s="1" t="s">
        <v>12</v>
      </c>
    </row>
    <row r="15" spans="1:10" x14ac:dyDescent="0.3">
      <c r="B15" s="2"/>
    </row>
    <row r="16" spans="1:10" x14ac:dyDescent="0.3">
      <c r="B16" s="2" t="s">
        <v>8</v>
      </c>
    </row>
    <row r="17" spans="1:11" x14ac:dyDescent="0.3">
      <c r="B17" s="2"/>
    </row>
    <row r="18" spans="1:11" x14ac:dyDescent="0.3">
      <c r="B18" s="2" t="s">
        <v>9</v>
      </c>
    </row>
    <row r="19" spans="1:11" x14ac:dyDescent="0.3">
      <c r="B19" s="2"/>
    </row>
    <row r="20" spans="1:11" x14ac:dyDescent="0.3">
      <c r="B20" s="2" t="s">
        <v>10</v>
      </c>
    </row>
    <row r="21" spans="1:11" x14ac:dyDescent="0.3">
      <c r="B21" s="2"/>
    </row>
    <row r="22" spans="1:11" x14ac:dyDescent="0.3">
      <c r="B22" s="2" t="s">
        <v>11</v>
      </c>
    </row>
    <row r="25" spans="1:11" x14ac:dyDescent="0.3">
      <c r="A25" s="6" t="s">
        <v>13</v>
      </c>
      <c r="B25" s="6" t="s">
        <v>14</v>
      </c>
      <c r="C25" s="6"/>
      <c r="D25" s="6"/>
      <c r="E25" s="6"/>
      <c r="F25" s="6"/>
      <c r="G25" s="6"/>
      <c r="H25" s="6"/>
      <c r="I25" s="6"/>
      <c r="J25" s="6"/>
      <c r="K25" s="6"/>
    </row>
    <row r="27" spans="1:11" x14ac:dyDescent="0.3">
      <c r="A27" t="s">
        <v>1</v>
      </c>
      <c r="B27" s="3" t="s">
        <v>5</v>
      </c>
    </row>
    <row r="28" spans="1:11" x14ac:dyDescent="0.3">
      <c r="B28" s="2"/>
    </row>
    <row r="29" spans="1:11" x14ac:dyDescent="0.3">
      <c r="B29" s="3" t="s">
        <v>6</v>
      </c>
    </row>
    <row r="30" spans="1:11" x14ac:dyDescent="0.3">
      <c r="B30" s="2"/>
    </row>
    <row r="31" spans="1:11" x14ac:dyDescent="0.3">
      <c r="B31" s="3" t="s">
        <v>7</v>
      </c>
    </row>
    <row r="34" spans="1:14" x14ac:dyDescent="0.3">
      <c r="A34" s="6" t="s">
        <v>15</v>
      </c>
      <c r="B34" s="6" t="s">
        <v>16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6" spans="1:14" x14ac:dyDescent="0.3">
      <c r="A36" t="s">
        <v>1</v>
      </c>
      <c r="B36" s="1" t="s">
        <v>17</v>
      </c>
    </row>
    <row r="37" spans="1:14" x14ac:dyDescent="0.3">
      <c r="B37" s="2"/>
    </row>
    <row r="38" spans="1:14" x14ac:dyDescent="0.3">
      <c r="B38" s="2" t="s">
        <v>18</v>
      </c>
    </row>
    <row r="39" spans="1:14" x14ac:dyDescent="0.3">
      <c r="B39" s="2"/>
    </row>
    <row r="40" spans="1:14" x14ac:dyDescent="0.3">
      <c r="B40" s="2" t="s">
        <v>19</v>
      </c>
    </row>
    <row r="41" spans="1:14" x14ac:dyDescent="0.3">
      <c r="B41" s="2"/>
    </row>
    <row r="42" spans="1:14" x14ac:dyDescent="0.3">
      <c r="B42" s="2" t="s">
        <v>20</v>
      </c>
    </row>
    <row r="43" spans="1:14" x14ac:dyDescent="0.3">
      <c r="B43" s="2"/>
    </row>
    <row r="44" spans="1:14" x14ac:dyDescent="0.3">
      <c r="B44" s="2" t="s">
        <v>21</v>
      </c>
    </row>
    <row r="46" spans="1:14" x14ac:dyDescent="0.3">
      <c r="B46" s="1" t="s">
        <v>22</v>
      </c>
    </row>
    <row r="48" spans="1:14" x14ac:dyDescent="0.3">
      <c r="B48" t="s">
        <v>23</v>
      </c>
    </row>
    <row r="51" spans="1:16" x14ac:dyDescent="0.3">
      <c r="A51" s="6" t="s">
        <v>24</v>
      </c>
      <c r="B51" s="6" t="s">
        <v>32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3" spans="1:16" x14ac:dyDescent="0.3">
      <c r="A53" t="s">
        <v>1</v>
      </c>
      <c r="B53" s="1" t="s">
        <v>25</v>
      </c>
    </row>
    <row r="54" spans="1:16" x14ac:dyDescent="0.3">
      <c r="B54" s="2"/>
    </row>
    <row r="55" spans="1:16" x14ac:dyDescent="0.3">
      <c r="B55" s="3" t="s">
        <v>26</v>
      </c>
    </row>
    <row r="56" spans="1:16" x14ac:dyDescent="0.3">
      <c r="B56" s="2"/>
    </row>
    <row r="57" spans="1:16" x14ac:dyDescent="0.3">
      <c r="B57" s="2" t="s">
        <v>27</v>
      </c>
    </row>
    <row r="58" spans="1:16" x14ac:dyDescent="0.3">
      <c r="B58" s="2"/>
    </row>
    <row r="59" spans="1:16" x14ac:dyDescent="0.3">
      <c r="B59" s="2" t="s">
        <v>28</v>
      </c>
    </row>
    <row r="60" spans="1:16" x14ac:dyDescent="0.3">
      <c r="B60" s="2"/>
    </row>
    <row r="61" spans="1:16" x14ac:dyDescent="0.3">
      <c r="B61" s="2" t="s">
        <v>29</v>
      </c>
    </row>
    <row r="63" spans="1:16" x14ac:dyDescent="0.3">
      <c r="B63" s="1" t="s">
        <v>30</v>
      </c>
    </row>
    <row r="65" spans="1:16" x14ac:dyDescent="0.3">
      <c r="B65" t="s">
        <v>31</v>
      </c>
    </row>
    <row r="68" spans="1:16" x14ac:dyDescent="0.3">
      <c r="A68" s="6" t="s">
        <v>33</v>
      </c>
      <c r="B68" s="6" t="s">
        <v>34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70" spans="1:16" x14ac:dyDescent="0.3">
      <c r="A70" t="s">
        <v>1</v>
      </c>
      <c r="B70" t="s">
        <v>35</v>
      </c>
    </row>
    <row r="72" spans="1:16" x14ac:dyDescent="0.3">
      <c r="B72" t="s">
        <v>36</v>
      </c>
    </row>
    <row r="75" spans="1:16" x14ac:dyDescent="0.3">
      <c r="A75" s="6" t="s">
        <v>37</v>
      </c>
    </row>
    <row r="83" spans="1:8" x14ac:dyDescent="0.3">
      <c r="A83" t="s">
        <v>1</v>
      </c>
      <c r="B83" t="s">
        <v>38</v>
      </c>
    </row>
    <row r="85" spans="1:8" x14ac:dyDescent="0.3">
      <c r="B85" t="s">
        <v>39</v>
      </c>
    </row>
    <row r="86" spans="1:8" x14ac:dyDescent="0.3">
      <c r="B86" t="s">
        <v>40</v>
      </c>
    </row>
    <row r="88" spans="1:8" x14ac:dyDescent="0.3">
      <c r="B88" s="7" t="s">
        <v>45</v>
      </c>
      <c r="C88" s="7"/>
      <c r="D88" t="s">
        <v>41</v>
      </c>
      <c r="F88" t="s">
        <v>42</v>
      </c>
      <c r="H88">
        <f>5</f>
        <v>5</v>
      </c>
    </row>
    <row r="90" spans="1:8" x14ac:dyDescent="0.3">
      <c r="D90" t="s">
        <v>43</v>
      </c>
      <c r="F90" t="s">
        <v>44</v>
      </c>
      <c r="H90">
        <v>6.25</v>
      </c>
    </row>
    <row r="93" spans="1:8" x14ac:dyDescent="0.3">
      <c r="B93" s="7" t="s">
        <v>46</v>
      </c>
      <c r="C93" s="7"/>
      <c r="D93" s="7"/>
      <c r="E93" s="7"/>
    </row>
    <row r="95" spans="1:8" x14ac:dyDescent="0.3">
      <c r="C95" s="9" t="s">
        <v>47</v>
      </c>
      <c r="D95" s="9" t="s">
        <v>48</v>
      </c>
      <c r="E95" s="9" t="s">
        <v>49</v>
      </c>
      <c r="F95" s="9" t="s">
        <v>50</v>
      </c>
      <c r="G95" s="9" t="s">
        <v>51</v>
      </c>
    </row>
    <row r="96" spans="1:8" x14ac:dyDescent="0.3">
      <c r="C96" s="8">
        <v>2</v>
      </c>
      <c r="D96" s="8">
        <v>3</v>
      </c>
      <c r="E96" s="8">
        <v>-3</v>
      </c>
      <c r="F96" s="8">
        <v>-3.25</v>
      </c>
      <c r="G96" s="8">
        <v>9.75</v>
      </c>
    </row>
    <row r="97" spans="2:12" x14ac:dyDescent="0.3">
      <c r="C97" s="8">
        <v>4</v>
      </c>
      <c r="D97" s="8">
        <v>7</v>
      </c>
      <c r="E97" s="8">
        <v>-1</v>
      </c>
      <c r="F97" s="8">
        <v>0.75</v>
      </c>
      <c r="G97" s="8">
        <v>-0.75</v>
      </c>
    </row>
    <row r="98" spans="2:12" x14ac:dyDescent="0.3">
      <c r="C98" s="8">
        <v>6</v>
      </c>
      <c r="D98" s="8">
        <v>5</v>
      </c>
      <c r="E98" s="8">
        <v>1</v>
      </c>
      <c r="F98" s="8">
        <v>-1.25</v>
      </c>
      <c r="G98" s="8">
        <v>-1.25</v>
      </c>
    </row>
    <row r="99" spans="2:12" x14ac:dyDescent="0.3">
      <c r="C99" s="8">
        <v>8</v>
      </c>
      <c r="D99" s="8">
        <v>10</v>
      </c>
      <c r="E99" s="8">
        <v>3</v>
      </c>
      <c r="F99" s="8">
        <v>3.75</v>
      </c>
      <c r="G99" s="8">
        <v>11.25</v>
      </c>
    </row>
    <row r="102" spans="2:12" x14ac:dyDescent="0.3">
      <c r="B102" s="7" t="s">
        <v>52</v>
      </c>
      <c r="C102" s="7"/>
      <c r="D102" s="7" t="s">
        <v>53</v>
      </c>
      <c r="E102" s="7"/>
      <c r="F102" s="7"/>
    </row>
    <row r="105" spans="2:12" x14ac:dyDescent="0.3">
      <c r="B105" s="10" t="s">
        <v>54</v>
      </c>
      <c r="C105" s="11"/>
      <c r="D105" s="11"/>
      <c r="E105" s="11"/>
    </row>
    <row r="107" spans="2:12" x14ac:dyDescent="0.3">
      <c r="B107" t="s">
        <v>55</v>
      </c>
    </row>
    <row r="109" spans="2:12" x14ac:dyDescent="0.3">
      <c r="C109" s="11" t="s">
        <v>56</v>
      </c>
      <c r="D109" s="11">
        <f>19/3</f>
        <v>6.333333333333333</v>
      </c>
    </row>
    <row r="112" spans="2:12" x14ac:dyDescent="0.3">
      <c r="B112" s="11" t="s">
        <v>57</v>
      </c>
      <c r="C112" s="11"/>
      <c r="D112" s="11"/>
      <c r="E112" s="11"/>
      <c r="F112" s="11"/>
      <c r="G112" s="11"/>
      <c r="H112" s="11"/>
      <c r="I112" s="11"/>
      <c r="J112" s="11"/>
      <c r="K112" s="11"/>
      <c r="L112" s="11"/>
    </row>
    <row r="115" spans="1:2" x14ac:dyDescent="0.3">
      <c r="A115" s="6" t="s">
        <v>58</v>
      </c>
    </row>
    <row r="122" spans="1:2" x14ac:dyDescent="0.3">
      <c r="A122" t="s">
        <v>1</v>
      </c>
      <c r="B122" t="s">
        <v>59</v>
      </c>
    </row>
    <row r="123" spans="1:2" x14ac:dyDescent="0.3">
      <c r="B123" s="2"/>
    </row>
    <row r="124" spans="1:2" x14ac:dyDescent="0.3">
      <c r="B124" s="3" t="s">
        <v>60</v>
      </c>
    </row>
    <row r="125" spans="1:2" x14ac:dyDescent="0.3">
      <c r="B125" s="2"/>
    </row>
    <row r="126" spans="1:2" x14ac:dyDescent="0.3">
      <c r="B126" s="3" t="s">
        <v>61</v>
      </c>
    </row>
    <row r="129" spans="2:8" x14ac:dyDescent="0.3">
      <c r="B129" s="10" t="s">
        <v>62</v>
      </c>
      <c r="C129" s="11"/>
      <c r="D129" s="11"/>
    </row>
    <row r="131" spans="2:8" x14ac:dyDescent="0.3">
      <c r="D131" t="s">
        <v>63</v>
      </c>
      <c r="E131" t="s">
        <v>64</v>
      </c>
      <c r="G131">
        <v>30</v>
      </c>
    </row>
    <row r="133" spans="2:8" x14ac:dyDescent="0.3">
      <c r="D133" t="s">
        <v>65</v>
      </c>
      <c r="E133" t="s">
        <v>66</v>
      </c>
      <c r="G133">
        <v>18.399999999999999</v>
      </c>
    </row>
    <row r="136" spans="2:8" x14ac:dyDescent="0.3">
      <c r="B136" s="7" t="s">
        <v>67</v>
      </c>
      <c r="C136" s="7"/>
      <c r="D136" s="7"/>
      <c r="E136" s="7"/>
    </row>
    <row r="138" spans="2:8" x14ac:dyDescent="0.3">
      <c r="D138" s="9" t="s">
        <v>68</v>
      </c>
      <c r="E138" s="9" t="s">
        <v>69</v>
      </c>
      <c r="F138" s="9" t="s">
        <v>70</v>
      </c>
      <c r="G138" s="9" t="s">
        <v>71</v>
      </c>
      <c r="H138" s="9" t="s">
        <v>51</v>
      </c>
    </row>
    <row r="139" spans="2:8" x14ac:dyDescent="0.3">
      <c r="D139" s="8">
        <v>10</v>
      </c>
      <c r="E139" s="8">
        <v>8</v>
      </c>
      <c r="F139" s="8">
        <v>-20</v>
      </c>
      <c r="G139" s="8">
        <v>-10.4</v>
      </c>
      <c r="H139" s="8">
        <v>208</v>
      </c>
    </row>
    <row r="140" spans="2:8" x14ac:dyDescent="0.3">
      <c r="D140" s="8">
        <v>20</v>
      </c>
      <c r="E140" s="8">
        <v>14</v>
      </c>
      <c r="F140" s="8">
        <v>-10</v>
      </c>
      <c r="G140" s="8">
        <v>-4.4000000000000004</v>
      </c>
      <c r="H140" s="8">
        <v>44</v>
      </c>
    </row>
    <row r="141" spans="2:8" x14ac:dyDescent="0.3">
      <c r="D141" s="8">
        <v>30</v>
      </c>
      <c r="E141" s="8">
        <v>18</v>
      </c>
      <c r="F141" s="8">
        <v>0</v>
      </c>
      <c r="G141" s="8">
        <v>-0.4</v>
      </c>
      <c r="H141" s="8">
        <v>0</v>
      </c>
    </row>
    <row r="142" spans="2:8" x14ac:dyDescent="0.3">
      <c r="D142" s="8">
        <v>40</v>
      </c>
      <c r="E142" s="8">
        <v>24</v>
      </c>
      <c r="F142" s="8">
        <v>10</v>
      </c>
      <c r="G142" s="8">
        <v>5.6</v>
      </c>
      <c r="H142" s="8">
        <v>56</v>
      </c>
    </row>
    <row r="143" spans="2:8" x14ac:dyDescent="0.3">
      <c r="D143" s="8">
        <v>50</v>
      </c>
      <c r="E143" s="8">
        <v>28</v>
      </c>
      <c r="F143" s="8">
        <v>20</v>
      </c>
      <c r="G143" s="8">
        <v>9.6</v>
      </c>
      <c r="H143" s="8">
        <v>192</v>
      </c>
    </row>
    <row r="146" spans="2:7" x14ac:dyDescent="0.3">
      <c r="D146" s="11" t="s">
        <v>72</v>
      </c>
      <c r="E146" s="11"/>
      <c r="F146" s="11"/>
      <c r="G146" s="11"/>
    </row>
    <row r="149" spans="2:7" x14ac:dyDescent="0.3">
      <c r="B149" s="7" t="s">
        <v>73</v>
      </c>
      <c r="C149" s="7"/>
      <c r="D149" s="7"/>
      <c r="E149" s="7"/>
    </row>
    <row r="151" spans="2:7" x14ac:dyDescent="0.3">
      <c r="D151" s="12" t="s">
        <v>74</v>
      </c>
      <c r="E151" s="12" t="s">
        <v>75</v>
      </c>
      <c r="F151" s="12">
        <f>SQRT(250)</f>
        <v>15.811388300841896</v>
      </c>
    </row>
    <row r="152" spans="2:7" x14ac:dyDescent="0.3">
      <c r="D152" s="12" t="s">
        <v>76</v>
      </c>
      <c r="E152" s="12" t="s">
        <v>77</v>
      </c>
      <c r="F152" s="12">
        <f>SQRT(62.8)</f>
        <v>7.9246451024635798</v>
      </c>
    </row>
    <row r="155" spans="2:7" x14ac:dyDescent="0.3">
      <c r="B155" s="10" t="s">
        <v>78</v>
      </c>
      <c r="C155" s="11"/>
      <c r="D155" s="11"/>
      <c r="E155" s="11"/>
      <c r="F155" s="11"/>
    </row>
    <row r="157" spans="2:7" x14ac:dyDescent="0.3">
      <c r="D157" t="s">
        <v>79</v>
      </c>
    </row>
    <row r="159" spans="2:7" x14ac:dyDescent="0.3">
      <c r="D159" s="11" t="s">
        <v>80</v>
      </c>
      <c r="E159" s="11"/>
      <c r="F159" s="11">
        <v>0.998</v>
      </c>
    </row>
    <row r="161" spans="1:14" x14ac:dyDescent="0.3">
      <c r="B161" s="11" t="s">
        <v>81</v>
      </c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</row>
    <row r="164" spans="1:14" x14ac:dyDescent="0.3">
      <c r="A164" s="6" t="s">
        <v>82</v>
      </c>
    </row>
    <row r="172" spans="1:14" x14ac:dyDescent="0.3">
      <c r="A172" t="s">
        <v>1</v>
      </c>
      <c r="B172" t="s">
        <v>59</v>
      </c>
    </row>
    <row r="173" spans="1:14" x14ac:dyDescent="0.3">
      <c r="B173" s="2"/>
    </row>
    <row r="174" spans="1:14" x14ac:dyDescent="0.3">
      <c r="B174" s="3" t="s">
        <v>83</v>
      </c>
    </row>
    <row r="175" spans="1:14" x14ac:dyDescent="0.3">
      <c r="B175" s="2"/>
    </row>
    <row r="176" spans="1:14" x14ac:dyDescent="0.3">
      <c r="B176" s="3" t="s">
        <v>84</v>
      </c>
    </row>
    <row r="178" spans="2:8" x14ac:dyDescent="0.3">
      <c r="B178" s="7" t="s">
        <v>85</v>
      </c>
      <c r="C178" s="7"/>
      <c r="D178" s="7"/>
    </row>
    <row r="180" spans="2:8" x14ac:dyDescent="0.3">
      <c r="D180" t="s">
        <v>86</v>
      </c>
      <c r="E180" t="s">
        <v>87</v>
      </c>
      <c r="H180">
        <v>165</v>
      </c>
    </row>
    <row r="182" spans="2:8" x14ac:dyDescent="0.3">
      <c r="D182" t="s">
        <v>88</v>
      </c>
      <c r="E182" t="s">
        <v>89</v>
      </c>
      <c r="G182">
        <v>59</v>
      </c>
    </row>
    <row r="184" spans="2:8" x14ac:dyDescent="0.3">
      <c r="B184" s="7" t="s">
        <v>67</v>
      </c>
      <c r="C184" s="7"/>
      <c r="D184" s="7"/>
      <c r="E184" s="7"/>
    </row>
    <row r="186" spans="2:8" x14ac:dyDescent="0.3">
      <c r="B186" s="9" t="s">
        <v>90</v>
      </c>
      <c r="C186" s="9" t="s">
        <v>91</v>
      </c>
      <c r="D186" s="9" t="s">
        <v>92</v>
      </c>
      <c r="E186" s="9" t="s">
        <v>93</v>
      </c>
      <c r="F186" s="9" t="s">
        <v>51</v>
      </c>
    </row>
    <row r="187" spans="2:8" x14ac:dyDescent="0.3">
      <c r="B187" s="8">
        <v>150</v>
      </c>
      <c r="C187" s="8">
        <v>50</v>
      </c>
      <c r="D187" s="8">
        <v>-15</v>
      </c>
      <c r="E187" s="8">
        <v>-9</v>
      </c>
      <c r="F187" s="8">
        <v>135</v>
      </c>
    </row>
    <row r="188" spans="2:8" x14ac:dyDescent="0.3">
      <c r="B188" s="8">
        <v>160</v>
      </c>
      <c r="C188" s="8">
        <v>55</v>
      </c>
      <c r="D188" s="8">
        <v>-5</v>
      </c>
      <c r="E188" s="8">
        <v>-4</v>
      </c>
      <c r="F188" s="8">
        <v>20</v>
      </c>
    </row>
    <row r="189" spans="2:8" x14ac:dyDescent="0.3">
      <c r="B189" s="8">
        <v>165</v>
      </c>
      <c r="C189" s="8">
        <v>58</v>
      </c>
      <c r="D189" s="8">
        <v>0</v>
      </c>
      <c r="E189" s="8">
        <v>-1</v>
      </c>
      <c r="F189" s="8">
        <v>0</v>
      </c>
    </row>
    <row r="190" spans="2:8" x14ac:dyDescent="0.3">
      <c r="B190" s="8">
        <v>170</v>
      </c>
      <c r="C190" s="8">
        <v>62</v>
      </c>
      <c r="D190" s="8">
        <v>5</v>
      </c>
      <c r="E190" s="8">
        <v>3</v>
      </c>
      <c r="F190" s="8">
        <v>15</v>
      </c>
    </row>
    <row r="191" spans="2:8" x14ac:dyDescent="0.3">
      <c r="B191" s="8">
        <v>180</v>
      </c>
      <c r="C191" s="8">
        <v>70</v>
      </c>
      <c r="D191" s="8">
        <v>15</v>
      </c>
      <c r="E191" s="8">
        <v>11</v>
      </c>
      <c r="F191" s="8">
        <v>165</v>
      </c>
    </row>
    <row r="194" spans="2:18" x14ac:dyDescent="0.3">
      <c r="C194" s="11" t="s">
        <v>94</v>
      </c>
      <c r="D194" s="11"/>
      <c r="E194" s="11"/>
      <c r="F194" s="11">
        <v>335</v>
      </c>
    </row>
    <row r="196" spans="2:18" x14ac:dyDescent="0.3">
      <c r="B196" s="7" t="s">
        <v>73</v>
      </c>
      <c r="C196" s="7"/>
      <c r="D196" s="7"/>
      <c r="E196" s="7"/>
    </row>
    <row r="198" spans="2:18" x14ac:dyDescent="0.3">
      <c r="C198" t="s">
        <v>95</v>
      </c>
      <c r="D198" t="s">
        <v>97</v>
      </c>
      <c r="E198">
        <f>SQRT(125)</f>
        <v>11.180339887498949</v>
      </c>
    </row>
    <row r="199" spans="2:18" x14ac:dyDescent="0.3">
      <c r="C199" t="s">
        <v>96</v>
      </c>
      <c r="D199" t="s">
        <v>98</v>
      </c>
      <c r="E199">
        <f>SQRT(44)</f>
        <v>6.6332495807107996</v>
      </c>
    </row>
    <row r="201" spans="2:18" x14ac:dyDescent="0.3">
      <c r="B201" s="7" t="s">
        <v>78</v>
      </c>
      <c r="C201" s="7"/>
      <c r="D201" s="7"/>
      <c r="E201" s="7"/>
    </row>
    <row r="203" spans="2:18" x14ac:dyDescent="0.3">
      <c r="C203" s="11" t="s">
        <v>99</v>
      </c>
      <c r="D203" s="11"/>
      <c r="E203" s="11">
        <v>0.99</v>
      </c>
    </row>
    <row r="206" spans="2:18" x14ac:dyDescent="0.3">
      <c r="B206" s="11" t="s">
        <v>100</v>
      </c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</row>
    <row r="209" spans="1:3" x14ac:dyDescent="0.3">
      <c r="A209" s="6" t="s">
        <v>101</v>
      </c>
    </row>
    <row r="219" spans="1:3" x14ac:dyDescent="0.3">
      <c r="A219" t="s">
        <v>102</v>
      </c>
      <c r="C219" t="s">
        <v>103</v>
      </c>
    </row>
    <row r="220" spans="1:3" x14ac:dyDescent="0.3">
      <c r="C220" s="2"/>
    </row>
    <row r="221" spans="1:3" x14ac:dyDescent="0.3">
      <c r="C221" s="3" t="s">
        <v>104</v>
      </c>
    </row>
    <row r="222" spans="1:3" x14ac:dyDescent="0.3">
      <c r="C222" s="2"/>
    </row>
    <row r="223" spans="1:3" x14ac:dyDescent="0.3">
      <c r="C223" s="3" t="s">
        <v>105</v>
      </c>
    </row>
    <row r="225" spans="1:7" x14ac:dyDescent="0.3">
      <c r="C225" t="s">
        <v>106</v>
      </c>
    </row>
    <row r="227" spans="1:7" x14ac:dyDescent="0.3">
      <c r="C227" s="11" t="s">
        <v>107</v>
      </c>
      <c r="D227" s="11"/>
      <c r="E227" s="11"/>
      <c r="F227" s="11"/>
      <c r="G227" s="11"/>
    </row>
    <row r="230" spans="1:7" x14ac:dyDescent="0.3">
      <c r="A230" s="6" t="s">
        <v>108</v>
      </c>
    </row>
    <row r="246" spans="1:7" x14ac:dyDescent="0.3">
      <c r="A246" t="s">
        <v>102</v>
      </c>
      <c r="B246" s="10" t="s">
        <v>62</v>
      </c>
      <c r="C246" s="11"/>
      <c r="D246" s="11"/>
    </row>
    <row r="248" spans="1:7" x14ac:dyDescent="0.3">
      <c r="D248" t="s">
        <v>63</v>
      </c>
      <c r="E248" t="s">
        <v>109</v>
      </c>
      <c r="G248">
        <v>10</v>
      </c>
    </row>
    <row r="250" spans="1:7" x14ac:dyDescent="0.3">
      <c r="D250" t="s">
        <v>65</v>
      </c>
      <c r="E250" t="s">
        <v>110</v>
      </c>
      <c r="G250">
        <v>8.8000000000000007</v>
      </c>
    </row>
    <row r="253" spans="1:7" x14ac:dyDescent="0.3">
      <c r="B253" s="7" t="s">
        <v>111</v>
      </c>
      <c r="C253" s="7"/>
      <c r="D253" s="7"/>
      <c r="E253" s="13"/>
    </row>
    <row r="255" spans="1:7" x14ac:dyDescent="0.3">
      <c r="B255" s="9" t="s">
        <v>112</v>
      </c>
      <c r="C255" s="9" t="s">
        <v>113</v>
      </c>
      <c r="D255" s="9" t="s">
        <v>114</v>
      </c>
      <c r="E255" s="9" t="s">
        <v>51</v>
      </c>
    </row>
    <row r="256" spans="1:7" x14ac:dyDescent="0.3">
      <c r="B256" s="8">
        <v>1</v>
      </c>
      <c r="C256" s="8">
        <v>-2</v>
      </c>
      <c r="D256" s="8">
        <v>-2.8</v>
      </c>
      <c r="E256" s="8">
        <v>5.6</v>
      </c>
    </row>
    <row r="257" spans="2:6" x14ac:dyDescent="0.3">
      <c r="B257" s="8">
        <v>2</v>
      </c>
      <c r="C257" s="8">
        <v>0</v>
      </c>
      <c r="D257" s="8">
        <v>0.2</v>
      </c>
      <c r="E257" s="8">
        <v>0</v>
      </c>
    </row>
    <row r="258" spans="2:6" x14ac:dyDescent="0.3">
      <c r="B258" s="8">
        <v>3</v>
      </c>
      <c r="C258" s="8">
        <v>2</v>
      </c>
      <c r="D258" s="8">
        <v>2.2000000000000002</v>
      </c>
      <c r="E258" s="8">
        <v>4.4000000000000004</v>
      </c>
    </row>
    <row r="259" spans="2:6" x14ac:dyDescent="0.3">
      <c r="B259" s="8">
        <v>4</v>
      </c>
      <c r="C259" s="8">
        <v>-1</v>
      </c>
      <c r="D259" s="8">
        <v>-0.8</v>
      </c>
      <c r="E259" s="8">
        <v>0.8</v>
      </c>
    </row>
    <row r="260" spans="2:6" x14ac:dyDescent="0.3">
      <c r="B260" s="8">
        <v>5</v>
      </c>
      <c r="C260" s="8">
        <v>1</v>
      </c>
      <c r="D260" s="8">
        <v>1.2</v>
      </c>
      <c r="E260" s="8">
        <v>1.2</v>
      </c>
    </row>
    <row r="262" spans="2:6" x14ac:dyDescent="0.3">
      <c r="C262" s="11" t="s">
        <v>115</v>
      </c>
      <c r="D262" s="11"/>
      <c r="E262" s="11"/>
      <c r="F262" s="11"/>
    </row>
    <row r="265" spans="2:6" x14ac:dyDescent="0.3">
      <c r="B265" s="7" t="s">
        <v>116</v>
      </c>
      <c r="C265" s="7"/>
    </row>
    <row r="267" spans="2:6" x14ac:dyDescent="0.3">
      <c r="C267" t="s">
        <v>117</v>
      </c>
      <c r="D267" s="14" t="s">
        <v>118</v>
      </c>
      <c r="E267">
        <v>3</v>
      </c>
    </row>
    <row r="270" spans="2:6" x14ac:dyDescent="0.3">
      <c r="B270" s="7" t="s">
        <v>119</v>
      </c>
      <c r="C270" s="7"/>
      <c r="D270" s="7"/>
      <c r="E270" s="7"/>
    </row>
    <row r="272" spans="2:6" x14ac:dyDescent="0.3">
      <c r="C272" t="s">
        <v>74</v>
      </c>
      <c r="D272" t="s">
        <v>120</v>
      </c>
      <c r="E272">
        <v>1.58</v>
      </c>
    </row>
    <row r="273" spans="2:16" x14ac:dyDescent="0.3">
      <c r="C273" t="s">
        <v>76</v>
      </c>
      <c r="D273" t="s">
        <v>121</v>
      </c>
      <c r="E273">
        <v>1.92</v>
      </c>
    </row>
    <row r="276" spans="2:16" x14ac:dyDescent="0.3">
      <c r="B276" s="7" t="s">
        <v>122</v>
      </c>
      <c r="C276" s="7"/>
      <c r="D276" s="7"/>
    </row>
    <row r="278" spans="2:16" x14ac:dyDescent="0.3">
      <c r="C278" s="11" t="s">
        <v>123</v>
      </c>
      <c r="D278" s="11"/>
      <c r="E278" s="11"/>
    </row>
    <row r="280" spans="2:16" x14ac:dyDescent="0.3">
      <c r="C280" t="s">
        <v>124</v>
      </c>
    </row>
    <row r="282" spans="2:16" x14ac:dyDescent="0.3">
      <c r="C282" s="11" t="s">
        <v>125</v>
      </c>
    </row>
    <row r="284" spans="2:16" x14ac:dyDescent="0.3">
      <c r="B284" s="11" t="s">
        <v>126</v>
      </c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Singh</dc:creator>
  <cp:lastModifiedBy>Tarun Singh</cp:lastModifiedBy>
  <dcterms:created xsi:type="dcterms:W3CDTF">2026-01-09T06:46:11Z</dcterms:created>
  <dcterms:modified xsi:type="dcterms:W3CDTF">2026-01-09T08:15:33Z</dcterms:modified>
</cp:coreProperties>
</file>