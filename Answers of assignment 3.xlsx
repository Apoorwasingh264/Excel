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Documents/"/>
    </mc:Choice>
  </mc:AlternateContent>
  <xr:revisionPtr revIDLastSave="320" documentId="8_{6CBE20AF-E5DB-4FF9-9332-B89C7C9CE4EB}" xr6:coauthVersionLast="47" xr6:coauthVersionMax="47" xr10:uidLastSave="{51ED5F81-656C-4D69-ACE6-B38A286122DD}"/>
  <bookViews>
    <workbookView minimized="1" xWindow="5760" yWindow="3360" windowWidth="17280" windowHeight="8880" xr2:uid="{A64BD72A-DA9A-4BEA-8D9C-3A6FF1C66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C89" i="1"/>
  <c r="D75" i="1"/>
  <c r="D71" i="1"/>
  <c r="D64" i="1"/>
  <c r="D65" i="1"/>
  <c r="D63" i="1"/>
  <c r="E35" i="1"/>
  <c r="C24" i="1"/>
  <c r="C25" i="1"/>
  <c r="C26" i="1"/>
  <c r="C27" i="1"/>
  <c r="C23" i="1"/>
  <c r="E14" i="1"/>
  <c r="D15" i="1"/>
  <c r="E15" i="1" s="1"/>
  <c r="D16" i="1"/>
  <c r="E16" i="1" s="1"/>
  <c r="D17" i="1"/>
  <c r="E17" i="1" s="1"/>
  <c r="D14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<sst xmlns="http://schemas.openxmlformats.org/spreadsheetml/2006/main" count="90" uniqueCount="71">
  <si>
    <t>Ques-1:Write a formula to check if the marks in cell B2 are greater than or equal to 40. If yes, return , "Pass" otherwise "Fail".</t>
  </si>
  <si>
    <t>Student Name</t>
  </si>
  <si>
    <t>Marks</t>
  </si>
  <si>
    <t>Riya</t>
  </si>
  <si>
    <t>Siya</t>
  </si>
  <si>
    <t>Raju</t>
  </si>
  <si>
    <t>Rahul</t>
  </si>
  <si>
    <t>Ram</t>
  </si>
  <si>
    <t>Result</t>
  </si>
  <si>
    <t>Condition</t>
  </si>
  <si>
    <t>&gt;=40</t>
  </si>
  <si>
    <t>Ques 2-A company gives a bonus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</si>
  <si>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</si>
  <si>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</si>
  <si>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</si>
  <si>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</si>
  <si>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</si>
  <si>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</si>
  <si>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</si>
  <si>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</si>
  <si>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Ques 3- Write a nested IF formula: If marks in B2 are ≥  90 →"A" , ≥ 75 →"B" , ≥ 50 →"C" , otherwise "Fail".</t>
  </si>
  <si>
    <t>Student name</t>
  </si>
  <si>
    <t>Raj</t>
  </si>
  <si>
    <t>Neha</t>
  </si>
  <si>
    <t>Vivek</t>
  </si>
  <si>
    <t>Rani</t>
  </si>
  <si>
    <t>Sneha</t>
  </si>
  <si>
    <t>Remark</t>
  </si>
  <si>
    <t>Ques 4- Find the Department of Employee ID = E103. Also explain which LOOKUP function is used and why?</t>
  </si>
  <si>
    <t>Emp 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</si>
  <si>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</si>
  <si>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</si>
  <si>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</si>
  <si>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</si>
  <si>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</si>
  <si>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</si>
  <si>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</si>
  <si>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</si>
  <si>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</si>
  <si>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</si>
  <si>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</si>
  <si>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VLOOKUP is used because it searches the Employee ID vertically in the first column and returns the corresponding Department from another column using an exact match.</t>
  </si>
  <si>
    <t>Ques 5- A company has set the following commission structure for its sales team:</t>
  </si>
  <si>
    <t>For Employee Id =</t>
  </si>
  <si>
    <t>Sales Amount</t>
  </si>
  <si>
    <t>Commission Rate</t>
  </si>
  <si>
    <t>If a salesperson achieves sales of ₹45,000, use the VLOOKUP function to determine the commission rate applicable</t>
  </si>
  <si>
    <t xml:space="preserve">Ans- </t>
  </si>
  <si>
    <t>Commission rate-</t>
  </si>
  <si>
    <t>Ques 6- The HR department maintains the following leave records of employees:onus or not.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</si>
  <si>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</si>
  <si>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</si>
  <si>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</si>
  <si>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</si>
  <si>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</si>
  <si>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</si>
  <si>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</t>
  </si>
  <si>
    <t>If Leaves Taken &gt; Allowed Leaves, display "Exceeded".</t>
  </si>
  <si>
    <t>Otherwise, display "OK". </t>
  </si>
  <si>
    <t>Leave Bal</t>
  </si>
  <si>
    <t>Ques 7- Find the salary of EmpID = E105 using INDEX-MATCH Function.</t>
  </si>
  <si>
    <t>Salary</t>
  </si>
  <si>
    <t>E105</t>
  </si>
  <si>
    <t>E106</t>
  </si>
  <si>
    <t>OR</t>
  </si>
  <si>
    <t>(By Index-match)</t>
  </si>
  <si>
    <t>(By Index Only)</t>
  </si>
  <si>
    <t>Ques 8- Use the XLOOKUP function to find the Department of the employee with Emp ID = E303</t>
  </si>
  <si>
    <t>E303</t>
  </si>
  <si>
    <t>E301</t>
  </si>
  <si>
    <t xml:space="preserve">EmpID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</si>
</sst>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0" fontId="3" fillId="0" borderId="0" xfId="0" applyFont="1" applyFill="1" applyBorder="1"/>
    <xf numFmtId="0" fontId="0" fillId="3" borderId="1" xfId="0" applyFill="1" applyBorder="1"/>
    <xf numFmtId="0" fontId="3" fillId="0" borderId="1" xfId="0" applyFont="1" applyFill="1" applyBorder="1"/>
    <xf numFmtId="9" fontId="0" fillId="0" borderId="1" xfId="0" applyNumberFormat="1" applyBorder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3" fillId="4" borderId="2" xfId="0" applyFont="1" applyFill="1" applyBorder="1"/>
    <xf numFmtId="0" fontId="0" fillId="4" borderId="0" xfId="0" applyFill="1"/>
    <xf numFmtId="0" fontId="3" fillId="4" borderId="0" xfId="0" applyFont="1" applyFill="1" applyBorder="1"/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3" fillId="4" borderId="0" xfId="0" applyFont="1" applyFill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6" fontId="0" fillId="0" borderId="0" xfId="0" applyNumberFormat="1"/>
    <xf numFmtId="9" fontId="1" fillId="3" borderId="0" xfId="0" applyNumberFormat="1" applyFont="1" applyFill="1"/>
    <xf numFmtId="0" fontId="3" fillId="0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4D6A-8141-43DD-A0EC-D849C49BD5D8}">
  <dimension ref="A1:S89"/>
  <sheetViews>
    <sheetView tabSelected="1" topLeftCell="A66" workbookViewId="0">
      <selection activeCell="E89" sqref="E89"/>
    </sheetView>
  </sheetViews>
  <sheetFormatPr defaultRowHeight="14.4" x14ac:dyDescent="0.3"/>
  <cols>
    <col min="1" max="1" width="15.6640625" customWidth="1"/>
    <col min="2" max="2" width="12.44140625" customWidth="1"/>
    <col min="3" max="3" width="15.109375" customWidth="1"/>
    <col min="4" max="4" width="9.5546875" customWidth="1"/>
    <col min="6" max="6" width="9.44140625" customWidth="1"/>
    <col min="11" max="11" width="10.44140625" customWidth="1"/>
  </cols>
  <sheetData>
    <row r="1" spans="1:19" ht="15.6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9" ht="15.6" x14ac:dyDescent="0.3">
      <c r="A3" s="4" t="s">
        <v>1</v>
      </c>
      <c r="B3" s="4" t="s">
        <v>2</v>
      </c>
      <c r="C3" s="4" t="s">
        <v>8</v>
      </c>
      <c r="K3" s="6" t="s">
        <v>9</v>
      </c>
    </row>
    <row r="4" spans="1:19" x14ac:dyDescent="0.3">
      <c r="A4" s="5" t="s">
        <v>3</v>
      </c>
      <c r="B4" s="5">
        <v>45</v>
      </c>
      <c r="C4" s="7" t="str">
        <f>IF($B4&gt;=40,"Pass","Fail")</f>
        <v>Pass</v>
      </c>
      <c r="K4" t="s">
        <v>10</v>
      </c>
    </row>
    <row r="5" spans="1:19" x14ac:dyDescent="0.3">
      <c r="A5" s="5" t="s">
        <v>4</v>
      </c>
      <c r="B5" s="5">
        <v>72</v>
      </c>
      <c r="C5" s="7" t="str">
        <f t="shared" ref="C5:C8" si="0">IF($B5&gt;=40,"Pass","Fail")</f>
        <v>Pass</v>
      </c>
    </row>
    <row r="6" spans="1:19" x14ac:dyDescent="0.3">
      <c r="A6" s="5" t="s">
        <v>5</v>
      </c>
      <c r="B6" s="5">
        <v>55</v>
      </c>
      <c r="C6" s="7" t="str">
        <f t="shared" si="0"/>
        <v>Pass</v>
      </c>
    </row>
    <row r="7" spans="1:19" x14ac:dyDescent="0.3">
      <c r="A7" s="5" t="s">
        <v>6</v>
      </c>
      <c r="B7" s="5">
        <v>80</v>
      </c>
      <c r="C7" s="7" t="str">
        <f t="shared" si="0"/>
        <v>Pass</v>
      </c>
    </row>
    <row r="8" spans="1:19" x14ac:dyDescent="0.3">
      <c r="A8" s="5" t="s">
        <v>7</v>
      </c>
      <c r="B8" s="5">
        <v>30</v>
      </c>
      <c r="C8" s="7" t="str">
        <f t="shared" si="0"/>
        <v>Fail</v>
      </c>
    </row>
    <row r="11" spans="1:19" ht="15.6" x14ac:dyDescent="0.3">
      <c r="A11" s="2" t="s">
        <v>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3" spans="1:19" ht="15.6" x14ac:dyDescent="0.3">
      <c r="A13" s="4" t="s">
        <v>12</v>
      </c>
      <c r="B13" s="4" t="s">
        <v>13</v>
      </c>
      <c r="C13" s="4" t="s">
        <v>14</v>
      </c>
      <c r="D13" s="8" t="s">
        <v>8</v>
      </c>
      <c r="E13" s="8" t="s">
        <v>19</v>
      </c>
    </row>
    <row r="14" spans="1:19" x14ac:dyDescent="0.3">
      <c r="A14" s="5" t="s">
        <v>15</v>
      </c>
      <c r="B14" s="5">
        <v>55000</v>
      </c>
      <c r="C14" s="9">
        <v>0.95</v>
      </c>
      <c r="D14" s="7" t="b">
        <f>AND($B14&gt;40000,$C14&gt;=90%)</f>
        <v>1</v>
      </c>
      <c r="E14" s="26" t="str">
        <f>IF($D14=TRUE,"bouns","no bonus")</f>
        <v>bouns</v>
      </c>
    </row>
    <row r="15" spans="1:19" x14ac:dyDescent="0.3">
      <c r="A15" s="5" t="s">
        <v>16</v>
      </c>
      <c r="B15" s="5">
        <v>65000</v>
      </c>
      <c r="C15" s="9">
        <v>0.85</v>
      </c>
      <c r="D15" s="7" t="b">
        <f t="shared" ref="D15:D17" si="1">AND($B15&gt;40000,$C15&gt;=90%)</f>
        <v>0</v>
      </c>
      <c r="E15" s="26" t="str">
        <f t="shared" ref="E15:E17" si="2">IF($D15=TRUE,"bouns","no bonus")</f>
        <v>no bonus</v>
      </c>
    </row>
    <row r="16" spans="1:19" x14ac:dyDescent="0.3">
      <c r="A16" s="5" t="s">
        <v>17</v>
      </c>
      <c r="B16" s="5">
        <v>30000</v>
      </c>
      <c r="C16" s="9">
        <v>0.9</v>
      </c>
      <c r="D16" s="7" t="b">
        <f t="shared" si="1"/>
        <v>0</v>
      </c>
      <c r="E16" s="26" t="str">
        <f t="shared" si="2"/>
        <v>no bonus</v>
      </c>
    </row>
    <row r="17" spans="1:11" x14ac:dyDescent="0.3">
      <c r="A17" s="5" t="s">
        <v>18</v>
      </c>
      <c r="B17" s="5">
        <v>25000</v>
      </c>
      <c r="C17" s="9">
        <v>0.65</v>
      </c>
      <c r="D17" s="7" t="b">
        <f t="shared" si="1"/>
        <v>0</v>
      </c>
      <c r="E17" s="26" t="str">
        <f t="shared" si="2"/>
        <v>no bonus</v>
      </c>
    </row>
    <row r="20" spans="1:11" ht="15.6" x14ac:dyDescent="0.3">
      <c r="A20" s="2" t="s">
        <v>20</v>
      </c>
      <c r="B20" s="2"/>
      <c r="C20" s="2"/>
      <c r="D20" s="2"/>
      <c r="E20" s="2"/>
      <c r="F20" s="2"/>
      <c r="G20" s="2"/>
      <c r="H20" s="2"/>
      <c r="I20" s="2"/>
      <c r="J20" s="2"/>
      <c r="K20" s="3"/>
    </row>
    <row r="22" spans="1:11" ht="15.6" x14ac:dyDescent="0.3">
      <c r="A22" s="4" t="s">
        <v>21</v>
      </c>
      <c r="B22" s="4" t="s">
        <v>2</v>
      </c>
      <c r="C22" s="4" t="s">
        <v>27</v>
      </c>
    </row>
    <row r="23" spans="1:11" x14ac:dyDescent="0.3">
      <c r="A23" s="5" t="s">
        <v>22</v>
      </c>
      <c r="B23" s="5">
        <v>85</v>
      </c>
      <c r="C23" s="7" t="str">
        <f>IF($B23&gt;=90,"A",IF($B23&gt;=75,"B",IF($B23&gt;=50,"C","Fail")))</f>
        <v>B</v>
      </c>
    </row>
    <row r="24" spans="1:11" x14ac:dyDescent="0.3">
      <c r="A24" s="5" t="s">
        <v>23</v>
      </c>
      <c r="B24" s="5">
        <v>96</v>
      </c>
      <c r="C24" s="7" t="str">
        <f t="shared" ref="C24:C27" si="3">IF($B24&gt;=90,"A",IF($B24&gt;=75,"B",IF($B24&gt;=50,"C","Fail")))</f>
        <v>A</v>
      </c>
    </row>
    <row r="25" spans="1:11" x14ac:dyDescent="0.3">
      <c r="A25" s="5" t="s">
        <v>24</v>
      </c>
      <c r="B25" s="5">
        <v>57</v>
      </c>
      <c r="C25" s="7" t="str">
        <f t="shared" si="3"/>
        <v>C</v>
      </c>
    </row>
    <row r="26" spans="1:11" x14ac:dyDescent="0.3">
      <c r="A26" s="5" t="s">
        <v>25</v>
      </c>
      <c r="B26" s="5">
        <v>92</v>
      </c>
      <c r="C26" s="7" t="str">
        <f t="shared" si="3"/>
        <v>A</v>
      </c>
    </row>
    <row r="27" spans="1:11" x14ac:dyDescent="0.3">
      <c r="A27" s="5" t="s">
        <v>26</v>
      </c>
      <c r="B27" s="5">
        <v>75</v>
      </c>
      <c r="C27" s="7" t="str">
        <f t="shared" si="3"/>
        <v>B</v>
      </c>
    </row>
    <row r="30" spans="1:11" ht="15.6" x14ac:dyDescent="0.3">
      <c r="A30" s="2" t="s">
        <v>28</v>
      </c>
      <c r="B30" s="2"/>
      <c r="C30" s="2"/>
      <c r="D30" s="2"/>
      <c r="E30" s="2"/>
      <c r="F30" s="2"/>
      <c r="G30" s="2"/>
      <c r="H30" s="2"/>
      <c r="I30" s="2"/>
      <c r="J30" s="3"/>
      <c r="K30" s="3"/>
    </row>
    <row r="32" spans="1:11" ht="15.6" x14ac:dyDescent="0.3">
      <c r="A32" s="4" t="s">
        <v>29</v>
      </c>
      <c r="B32" s="4" t="s">
        <v>30</v>
      </c>
      <c r="C32" s="4" t="s">
        <v>31</v>
      </c>
      <c r="D32" s="13" t="s">
        <v>43</v>
      </c>
      <c r="E32" s="14"/>
      <c r="F32" s="15" t="s">
        <v>34</v>
      </c>
    </row>
    <row r="33" spans="1:17" x14ac:dyDescent="0.3">
      <c r="A33" s="5" t="s">
        <v>32</v>
      </c>
      <c r="B33" s="5" t="s">
        <v>5</v>
      </c>
      <c r="C33" s="5" t="s">
        <v>38</v>
      </c>
    </row>
    <row r="34" spans="1:17" x14ac:dyDescent="0.3">
      <c r="A34" s="5" t="s">
        <v>33</v>
      </c>
      <c r="B34" s="5" t="s">
        <v>3</v>
      </c>
      <c r="C34" s="5" t="s">
        <v>39</v>
      </c>
    </row>
    <row r="35" spans="1:17" ht="15.6" x14ac:dyDescent="0.3">
      <c r="A35" s="5" t="s">
        <v>34</v>
      </c>
      <c r="B35" s="5" t="s">
        <v>36</v>
      </c>
      <c r="C35" s="5" t="s">
        <v>40</v>
      </c>
      <c r="E35" s="11" t="str">
        <f>VLOOKUP(F32,A32:C36,3,FALSE)</f>
        <v>Finance</v>
      </c>
    </row>
    <row r="36" spans="1:17" x14ac:dyDescent="0.3">
      <c r="A36" s="5" t="s">
        <v>35</v>
      </c>
      <c r="B36" s="5" t="s">
        <v>37</v>
      </c>
      <c r="C36" s="5" t="s">
        <v>13</v>
      </c>
    </row>
    <row r="38" spans="1:17" ht="15.6" x14ac:dyDescent="0.3">
      <c r="A38" s="11" t="s">
        <v>41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0"/>
      <c r="Q38" s="10"/>
    </row>
    <row r="41" spans="1:17" ht="15.6" x14ac:dyDescent="0.3">
      <c r="A41" s="2" t="s">
        <v>42</v>
      </c>
      <c r="B41" s="2"/>
      <c r="C41" s="2"/>
      <c r="D41" s="2"/>
      <c r="E41" s="2"/>
      <c r="F41" s="2"/>
      <c r="G41" s="2"/>
      <c r="H41" s="2"/>
    </row>
    <row r="43" spans="1:17" ht="15.6" x14ac:dyDescent="0.3">
      <c r="A43" s="4" t="s">
        <v>44</v>
      </c>
      <c r="B43" s="19" t="s">
        <v>45</v>
      </c>
      <c r="C43" s="20"/>
    </row>
    <row r="44" spans="1:17" x14ac:dyDescent="0.3">
      <c r="A44" s="5">
        <v>0</v>
      </c>
      <c r="B44" s="16">
        <v>0.05</v>
      </c>
      <c r="C44" s="17"/>
    </row>
    <row r="45" spans="1:17" x14ac:dyDescent="0.3">
      <c r="A45" s="5">
        <v>2000</v>
      </c>
      <c r="B45" s="16">
        <v>0.1</v>
      </c>
      <c r="C45" s="17"/>
    </row>
    <row r="46" spans="1:17" x14ac:dyDescent="0.3">
      <c r="A46" s="5">
        <v>5000</v>
      </c>
      <c r="B46" s="16">
        <v>0.15</v>
      </c>
      <c r="C46" s="17"/>
    </row>
    <row r="47" spans="1:17" x14ac:dyDescent="0.3">
      <c r="A47" s="5">
        <v>8000</v>
      </c>
      <c r="B47" s="16">
        <v>0.2</v>
      </c>
      <c r="C47" s="17"/>
    </row>
    <row r="49" spans="1:12" ht="15.6" x14ac:dyDescent="0.3">
      <c r="A49" s="18" t="s">
        <v>46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1" spans="1:12" x14ac:dyDescent="0.3">
      <c r="A51" t="s">
        <v>47</v>
      </c>
      <c r="D51" s="21">
        <v>45000</v>
      </c>
    </row>
    <row r="53" spans="1:12" ht="15.6" x14ac:dyDescent="0.3">
      <c r="B53" s="1" t="s">
        <v>48</v>
      </c>
      <c r="C53" s="1"/>
      <c r="D53" s="22">
        <f>VLOOKUP(D51,A43:C47,2,TRUE)</f>
        <v>0.2</v>
      </c>
    </row>
    <row r="56" spans="1:12" ht="15.6" x14ac:dyDescent="0.3">
      <c r="A56" s="2" t="s">
        <v>49</v>
      </c>
      <c r="B56" s="2"/>
      <c r="C56" s="2"/>
      <c r="D56" s="2"/>
      <c r="E56" s="2"/>
      <c r="F56" s="2"/>
      <c r="G56" s="2"/>
      <c r="H56" s="2"/>
      <c r="I56" s="2"/>
      <c r="J56" s="23"/>
    </row>
    <row r="58" spans="1:12" x14ac:dyDescent="0.3">
      <c r="A58" t="s">
        <v>56</v>
      </c>
    </row>
    <row r="59" spans="1:12" x14ac:dyDescent="0.3">
      <c r="A59" t="s">
        <v>57</v>
      </c>
    </row>
    <row r="60" spans="1:12" x14ac:dyDescent="0.3">
      <c r="A60" t="s">
        <v>58</v>
      </c>
    </row>
    <row r="62" spans="1:12" ht="15.6" x14ac:dyDescent="0.3">
      <c r="A62" s="4" t="s">
        <v>50</v>
      </c>
      <c r="B62" s="4" t="s">
        <v>51</v>
      </c>
      <c r="C62" s="4" t="s">
        <v>52</v>
      </c>
      <c r="D62" s="4" t="s">
        <v>59</v>
      </c>
    </row>
    <row r="63" spans="1:12" x14ac:dyDescent="0.3">
      <c r="A63" s="5" t="s">
        <v>53</v>
      </c>
      <c r="B63" s="5">
        <v>10</v>
      </c>
      <c r="C63" s="5">
        <v>12</v>
      </c>
      <c r="D63" s="7" t="str">
        <f>IF($B63&gt;$C63,"Exceeded","OK")</f>
        <v>OK</v>
      </c>
    </row>
    <row r="64" spans="1:12" x14ac:dyDescent="0.3">
      <c r="A64" s="5" t="s">
        <v>54</v>
      </c>
      <c r="B64" s="5">
        <v>10</v>
      </c>
      <c r="C64" s="5">
        <v>15</v>
      </c>
      <c r="D64" s="7" t="str">
        <f t="shared" ref="D64:D65" si="4">IF($B64&gt;$C64,"Exceeded","OK")</f>
        <v>OK</v>
      </c>
    </row>
    <row r="65" spans="1:9" x14ac:dyDescent="0.3">
      <c r="A65" s="5" t="s">
        <v>55</v>
      </c>
      <c r="B65" s="5">
        <v>8</v>
      </c>
      <c r="C65" s="5">
        <v>12</v>
      </c>
      <c r="D65" s="7" t="str">
        <f t="shared" si="4"/>
        <v>OK</v>
      </c>
    </row>
    <row r="68" spans="1:9" ht="15.6" x14ac:dyDescent="0.3">
      <c r="A68" s="2" t="s">
        <v>60</v>
      </c>
      <c r="B68" s="2"/>
      <c r="C68" s="2"/>
      <c r="D68" s="2"/>
      <c r="E68" s="2"/>
      <c r="F68" s="2"/>
    </row>
    <row r="70" spans="1:9" ht="15.6" x14ac:dyDescent="0.3">
      <c r="A70" s="4" t="s">
        <v>29</v>
      </c>
      <c r="B70" s="4" t="s">
        <v>61</v>
      </c>
    </row>
    <row r="71" spans="1:9" x14ac:dyDescent="0.3">
      <c r="A71" s="5" t="s">
        <v>35</v>
      </c>
      <c r="B71" s="5">
        <v>55000</v>
      </c>
      <c r="D71" s="24">
        <f>INDEX(A71:B74,2,2)</f>
        <v>72000</v>
      </c>
      <c r="E71" t="s">
        <v>66</v>
      </c>
      <c r="G71" t="s">
        <v>62</v>
      </c>
    </row>
    <row r="72" spans="1:9" x14ac:dyDescent="0.3">
      <c r="A72" s="5" t="s">
        <v>62</v>
      </c>
      <c r="B72" s="5">
        <v>72000</v>
      </c>
    </row>
    <row r="73" spans="1:9" x14ac:dyDescent="0.3">
      <c r="A73" s="5" t="s">
        <v>63</v>
      </c>
      <c r="B73" s="5">
        <v>62000</v>
      </c>
      <c r="D73" t="s">
        <v>64</v>
      </c>
    </row>
    <row r="74" spans="1:9" x14ac:dyDescent="0.3">
      <c r="A74" s="5" t="s">
        <v>33</v>
      </c>
      <c r="B74" s="5">
        <v>41000</v>
      </c>
    </row>
    <row r="75" spans="1:9" x14ac:dyDescent="0.3">
      <c r="D75" s="24">
        <f>INDEX(B71:B74,MATCH(G71,A71:A74,0))</f>
        <v>72000</v>
      </c>
      <c r="F75" t="s">
        <v>65</v>
      </c>
    </row>
    <row r="80" spans="1:9" ht="15.6" x14ac:dyDescent="0.3">
      <c r="A80" s="2" t="s">
        <v>67</v>
      </c>
      <c r="B80" s="2"/>
      <c r="C80" s="2"/>
      <c r="D80" s="2"/>
      <c r="E80" s="2"/>
      <c r="F80" s="2"/>
      <c r="G80" s="2"/>
      <c r="H80" s="2"/>
      <c r="I80" s="3"/>
    </row>
    <row r="82" spans="1:5" ht="15.6" x14ac:dyDescent="0.3">
      <c r="A82" s="4" t="s">
        <v>29</v>
      </c>
      <c r="B82" s="4" t="s">
        <v>61</v>
      </c>
    </row>
    <row r="83" spans="1:5" x14ac:dyDescent="0.3">
      <c r="A83" s="5" t="s">
        <v>32</v>
      </c>
      <c r="B83" s="5" t="s">
        <v>39</v>
      </c>
      <c r="D83" s="25" t="s">
        <v>70</v>
      </c>
      <c r="E83" s="25" t="s">
        <v>68</v>
      </c>
    </row>
    <row r="84" spans="1:5" x14ac:dyDescent="0.3">
      <c r="A84" s="5" t="s">
        <v>68</v>
      </c>
      <c r="B84" s="5" t="s">
        <v>38</v>
      </c>
    </row>
    <row r="85" spans="1:5" x14ac:dyDescent="0.3">
      <c r="A85" s="5" t="s">
        <v>63</v>
      </c>
      <c r="B85" s="5" t="s">
        <v>13</v>
      </c>
    </row>
    <row r="86" spans="1:5" x14ac:dyDescent="0.3">
      <c r="A86" s="5" t="s">
        <v>69</v>
      </c>
      <c r="B86" s="5" t="s">
        <v>40</v>
      </c>
    </row>
    <row r="89" spans="1:5" ht="15.6" x14ac:dyDescent="0.3">
      <c r="C89" s="12" t="str">
        <f>_xlfn.XLOOKUP(E83,A83:A86,B83:B86,"Not found",0)</f>
        <v>IT</v>
      </c>
    </row>
  </sheetData>
  <mergeCells count="5">
    <mergeCell ref="B43:C43"/>
    <mergeCell ref="B44:C44"/>
    <mergeCell ref="B45:C45"/>
    <mergeCell ref="B46:C46"/>
    <mergeCell ref="B47:C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cp:lastPrinted>2025-12-15T18:37:17Z</cp:lastPrinted>
  <dcterms:created xsi:type="dcterms:W3CDTF">2025-12-15T15:29:22Z</dcterms:created>
  <dcterms:modified xsi:type="dcterms:W3CDTF">2025-12-15T18:37:32Z</dcterms:modified>
</cp:coreProperties>
</file>